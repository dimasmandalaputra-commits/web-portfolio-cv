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O\"/>
    </mc:Choice>
  </mc:AlternateContent>
  <xr:revisionPtr revIDLastSave="0" documentId="13_ncr:1_{3733E2B9-B89C-4E57-8A55-ECB6860372D6}" xr6:coauthVersionLast="47" xr6:coauthVersionMax="47" xr10:uidLastSave="{00000000-0000-0000-0000-000000000000}"/>
  <bookViews>
    <workbookView minimized="1" xWindow="5124" yWindow="3876" windowWidth="17280" windowHeight="8916" xr2:uid="{B7E76372-4ECE-44D9-8A14-4A9A9FBFC7B2}"/>
  </bookViews>
  <sheets>
    <sheet name="Sheet1" sheetId="1" r:id="rId1"/>
    <sheet name="Sheet2" sheetId="2" r:id="rId2"/>
  </sheets>
  <definedNames>
    <definedName name="DAFT">Sheet1!$B$4:$P$17</definedName>
    <definedName name="DFR_GJI_PEGAWAI">Sheet1!$A$4:$P$18</definedName>
    <definedName name="TBL_GAJI">Sheet2!$A$3:$B$8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E25" i="1"/>
  <c r="E26" i="1"/>
  <c r="F38" i="1"/>
  <c r="F39" i="1" s="1"/>
  <c r="F37" i="1"/>
  <c r="F32" i="1"/>
  <c r="F36" i="1"/>
  <c r="F35" i="1"/>
  <c r="F34" i="1"/>
  <c r="F33" i="1"/>
  <c r="E29" i="1"/>
  <c r="E28" i="1"/>
  <c r="E27" i="1"/>
  <c r="K7" i="1"/>
  <c r="K9" i="1"/>
  <c r="K11" i="1"/>
  <c r="K12" i="1"/>
  <c r="K13" i="1"/>
  <c r="K14" i="1"/>
  <c r="K15" i="1"/>
  <c r="K16" i="1"/>
  <c r="K5" i="1"/>
  <c r="L5" i="1"/>
  <c r="E6" i="1"/>
  <c r="E7" i="1"/>
  <c r="E8" i="1"/>
  <c r="E9" i="1"/>
  <c r="E10" i="1"/>
  <c r="E11" i="1"/>
  <c r="E12" i="1"/>
  <c r="E13" i="1"/>
  <c r="E14" i="1"/>
  <c r="E15" i="1"/>
  <c r="E16" i="1"/>
  <c r="E17" i="1"/>
  <c r="E5" i="1"/>
  <c r="J9" i="1"/>
  <c r="J12" i="1"/>
  <c r="J13" i="1"/>
  <c r="J14" i="1"/>
  <c r="J16" i="1"/>
  <c r="L6" i="1"/>
  <c r="L7" i="1"/>
  <c r="L8" i="1"/>
  <c r="L9" i="1"/>
  <c r="L10" i="1"/>
  <c r="L11" i="1"/>
  <c r="L12" i="1"/>
  <c r="L13" i="1"/>
  <c r="L14" i="1"/>
  <c r="L15" i="1"/>
  <c r="L16" i="1"/>
  <c r="L17" i="1"/>
  <c r="I6" i="1"/>
  <c r="K6" i="1" s="1"/>
  <c r="I7" i="1"/>
  <c r="J7" i="1" s="1"/>
  <c r="I8" i="1"/>
  <c r="K8" i="1" s="1"/>
  <c r="I9" i="1"/>
  <c r="I10" i="1"/>
  <c r="J10" i="1" s="1"/>
  <c r="I11" i="1"/>
  <c r="J11" i="1" s="1"/>
  <c r="I12" i="1"/>
  <c r="I13" i="1"/>
  <c r="I14" i="1"/>
  <c r="I15" i="1"/>
  <c r="J15" i="1" s="1"/>
  <c r="I16" i="1"/>
  <c r="I17" i="1"/>
  <c r="K17" i="1" s="1"/>
  <c r="I5" i="1"/>
  <c r="J5" i="1" s="1"/>
  <c r="K10" i="1" l="1"/>
  <c r="M10" i="1" s="1"/>
  <c r="J6" i="1"/>
  <c r="J17" i="1"/>
  <c r="J8" i="1"/>
  <c r="M13" i="1"/>
  <c r="M12" i="1"/>
  <c r="M11" i="1"/>
  <c r="M17" i="1"/>
  <c r="M16" i="1"/>
  <c r="M15" i="1"/>
  <c r="M14" i="1"/>
  <c r="M8" i="1"/>
  <c r="M6" i="1"/>
  <c r="M7" i="1"/>
  <c r="M9" i="1"/>
  <c r="O13" i="1"/>
  <c r="N13" i="1"/>
  <c r="N12" i="1"/>
  <c r="O12" i="1"/>
  <c r="M5" i="1"/>
  <c r="O9" i="1" l="1"/>
  <c r="N8" i="1"/>
  <c r="P15" i="1"/>
  <c r="P16" i="1"/>
  <c r="P17" i="1"/>
  <c r="O10" i="1"/>
  <c r="N11" i="1"/>
  <c r="P12" i="1"/>
  <c r="P13" i="1"/>
  <c r="N6" i="1"/>
  <c r="N10" i="1"/>
  <c r="P10" i="1" s="1"/>
  <c r="O11" i="1"/>
  <c r="O6" i="1"/>
  <c r="P6" i="1" s="1"/>
  <c r="N7" i="1"/>
  <c r="O7" i="1"/>
  <c r="N14" i="1"/>
  <c r="P14" i="1" s="1"/>
  <c r="O14" i="1"/>
  <c r="N15" i="1"/>
  <c r="O15" i="1"/>
  <c r="N16" i="1"/>
  <c r="O16" i="1"/>
  <c r="N17" i="1"/>
  <c r="O17" i="1"/>
  <c r="O8" i="1"/>
  <c r="N9" i="1"/>
  <c r="P9" i="1" s="1"/>
  <c r="O5" i="1"/>
  <c r="N5" i="1"/>
  <c r="P7" i="1" l="1"/>
  <c r="P8" i="1"/>
  <c r="P11" i="1"/>
  <c r="P5" i="1"/>
</calcChain>
</file>

<file path=xl/sharedStrings.xml><?xml version="1.0" encoding="utf-8"?>
<sst xmlns="http://schemas.openxmlformats.org/spreadsheetml/2006/main" count="83" uniqueCount="57">
  <si>
    <t>PT.MASSARO MANUNGGAL</t>
  </si>
  <si>
    <t>DAFTAR GAJI PEGAWAI</t>
  </si>
  <si>
    <t>NO</t>
  </si>
  <si>
    <t>NAMA PEGAWAI</t>
  </si>
  <si>
    <t>MULAI KERJA</t>
  </si>
  <si>
    <t>MASA KERJA</t>
  </si>
  <si>
    <t>GOL</t>
  </si>
  <si>
    <t>STS</t>
  </si>
  <si>
    <t>JUMLAH ANAK</t>
  </si>
  <si>
    <t>GAJI POKOK</t>
  </si>
  <si>
    <t>TUJ ISTRI/SUAMI 10%</t>
  </si>
  <si>
    <t>TUJ ANAK 2%</t>
  </si>
  <si>
    <t>TUJ BERAS</t>
  </si>
  <si>
    <t>JUMLAH GAJI KOTOR</t>
  </si>
  <si>
    <t>IURAN WAJIB PEGAWAI 10%</t>
  </si>
  <si>
    <t>IURAN RUMAH 1%</t>
  </si>
  <si>
    <t>JUMLAH GAJI BERSIH</t>
  </si>
  <si>
    <t>JUMLAH</t>
  </si>
  <si>
    <t>ABRAHAM</t>
  </si>
  <si>
    <t>SARUL</t>
  </si>
  <si>
    <t>BADINAH</t>
  </si>
  <si>
    <t>JAMAUIDIN</t>
  </si>
  <si>
    <t>ANDRI</t>
  </si>
  <si>
    <t>HENDRY</t>
  </si>
  <si>
    <t>ZULKAIMAN</t>
  </si>
  <si>
    <t>SAEPTA</t>
  </si>
  <si>
    <t>HABILLAH</t>
  </si>
  <si>
    <t>BAHARUDIN</t>
  </si>
  <si>
    <t>RUDI</t>
  </si>
  <si>
    <t>BAMBANG</t>
  </si>
  <si>
    <t>IMAM</t>
  </si>
  <si>
    <t>3C</t>
  </si>
  <si>
    <t>3A</t>
  </si>
  <si>
    <t>2B</t>
  </si>
  <si>
    <t>1D</t>
  </si>
  <si>
    <t>4A</t>
  </si>
  <si>
    <t>2D</t>
  </si>
  <si>
    <t>3D</t>
  </si>
  <si>
    <t>4D</t>
  </si>
  <si>
    <t>4E</t>
  </si>
  <si>
    <t>KAWIN</t>
  </si>
  <si>
    <t>TDK KAWIN</t>
  </si>
  <si>
    <t>TABEL GAJI</t>
  </si>
  <si>
    <t>A</t>
  </si>
  <si>
    <t>B</t>
  </si>
  <si>
    <t>C</t>
  </si>
  <si>
    <t>D</t>
  </si>
  <si>
    <t>E</t>
  </si>
  <si>
    <t>REKAPITULASI GAJI PENGAWAI</t>
  </si>
  <si>
    <t>NIP</t>
  </si>
  <si>
    <t>STATUS</t>
  </si>
  <si>
    <t>TUJ ISTRI/SUAMI</t>
  </si>
  <si>
    <t>TUJ ANAK</t>
  </si>
  <si>
    <t>IURAN WAJIB PEGAWAI</t>
  </si>
  <si>
    <t>TABUNGAN RUMAH</t>
  </si>
  <si>
    <t>PEMBULATAN</t>
  </si>
  <si>
    <t>GAJI POKOK YANG DITERIMA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</si>
</sst>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[$Rp-421]#,##0"/>
    <numFmt numFmtId="171" formatCode="_-[$Rp-421]* #,##0_-;\-[$Rp-421]* #,##0_-;_-[$Rp-421]* &quot;-&quot;??_-;_-@_-"/>
    <numFmt numFmtId="172" formatCode="_-[$Rp-421]* #,##0_-;\-[$Rp-421]* #,##0_-;_-[$Rp-421]* &quot;-&quot;_-;_-@_-"/>
    <numFmt numFmtId="175" formatCode="0\ &quot;TAHUN&quot;"/>
    <numFmt numFmtId="176" formatCode="0\ &quot;KG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166" fontId="0" fillId="0" borderId="1" xfId="0" applyNumberFormat="1" applyBorder="1"/>
    <xf numFmtId="171" fontId="0" fillId="0" borderId="1" xfId="0" applyNumberFormat="1" applyBorder="1"/>
    <xf numFmtId="166" fontId="0" fillId="0" borderId="1" xfId="0" applyNumberFormat="1" applyBorder="1" applyAlignment="1">
      <alignment horizontal="center" vertical="center" wrapText="1"/>
    </xf>
    <xf numFmtId="172" fontId="0" fillId="0" borderId="1" xfId="0" applyNumberFormat="1" applyBorder="1"/>
    <xf numFmtId="0" fontId="0" fillId="0" borderId="2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175" fontId="0" fillId="0" borderId="1" xfId="0" applyNumberFormat="1" applyBorder="1" applyAlignment="1">
      <alignment horizontal="center" vertical="center"/>
    </xf>
    <xf numFmtId="9" fontId="0" fillId="0" borderId="0" xfId="0" applyNumberFormat="1"/>
    <xf numFmtId="9" fontId="0" fillId="0" borderId="1" xfId="0" applyNumberFormat="1" applyBorder="1"/>
    <xf numFmtId="176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right"/>
    </xf>
    <xf numFmtId="175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72" fontId="0" fillId="2" borderId="1" xfId="0" applyNumberFormat="1" applyFill="1" applyBorder="1"/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8692-F0C6-4392-85F6-CB9C1A7B63EC}">
  <dimension ref="A1:P39"/>
  <sheetViews>
    <sheetView tabSelected="1" topLeftCell="A14" workbookViewId="0">
      <selection activeCell="G32" sqref="G32"/>
    </sheetView>
  </sheetViews>
  <sheetFormatPr defaultRowHeight="14.4" x14ac:dyDescent="0.3"/>
  <cols>
    <col min="1" max="1" width="3.33203125" customWidth="1"/>
    <col min="2" max="2" width="5" bestFit="1" customWidth="1"/>
    <col min="3" max="3" width="14.21875" bestFit="1" customWidth="1"/>
    <col min="4" max="4" width="23.88671875" customWidth="1"/>
    <col min="5" max="5" width="10.88671875" bestFit="1" customWidth="1"/>
    <col min="6" max="6" width="14.109375" customWidth="1"/>
    <col min="7" max="7" width="10" bestFit="1" customWidth="1"/>
    <col min="8" max="8" width="8.88671875" style="3"/>
    <col min="9" max="9" width="13.5546875" customWidth="1"/>
    <col min="10" max="10" width="10.88671875" customWidth="1"/>
    <col min="11" max="11" width="13.33203125" customWidth="1"/>
    <col min="12" max="12" width="12.5546875" bestFit="1" customWidth="1"/>
    <col min="13" max="13" width="11.21875" bestFit="1" customWidth="1"/>
    <col min="14" max="14" width="13.88671875" style="5" customWidth="1"/>
    <col min="16" max="16" width="11.21875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7">
        <v>40057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43.2" x14ac:dyDescent="0.3">
      <c r="A4" s="7" t="s">
        <v>2</v>
      </c>
      <c r="B4" s="7" t="s">
        <v>49</v>
      </c>
      <c r="C4" s="7" t="s">
        <v>3</v>
      </c>
      <c r="D4" s="7" t="s">
        <v>4</v>
      </c>
      <c r="E4" s="8" t="s">
        <v>5</v>
      </c>
      <c r="F4" s="7" t="s">
        <v>6</v>
      </c>
      <c r="G4" s="7" t="s">
        <v>7</v>
      </c>
      <c r="H4" s="8" t="s">
        <v>8</v>
      </c>
      <c r="I4" s="7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</row>
    <row r="5" spans="1:16" x14ac:dyDescent="0.3">
      <c r="A5" s="2">
        <v>1</v>
      </c>
      <c r="B5" s="2">
        <v>1001</v>
      </c>
      <c r="C5" s="2" t="s">
        <v>18</v>
      </c>
      <c r="D5" s="10">
        <v>34701</v>
      </c>
      <c r="E5" s="18">
        <f>YEAR($A$3)-YEAR(D5)</f>
        <v>14</v>
      </c>
      <c r="F5" s="2" t="s">
        <v>31</v>
      </c>
      <c r="G5" s="2" t="s">
        <v>40</v>
      </c>
      <c r="H5" s="4">
        <v>0</v>
      </c>
      <c r="I5" s="12">
        <f>VLOOKUP(RIGHT(F5,1),TBL_GAJI,2,0)</f>
        <v>1650000</v>
      </c>
      <c r="J5" s="15">
        <f>IF(G5="KAWIN",(I5*10%),0)</f>
        <v>165000</v>
      </c>
      <c r="K5" s="15">
        <f>IF(H5&gt;=1,2%*I5,0)</f>
        <v>0</v>
      </c>
      <c r="L5" s="13">
        <f>IF(AND(G5="KAWIN",H5&gt;=2),3*(5500*10),IF(AND(G5="KAWIN",H5=3,H5&lt;=1),1*(5500*10),0))</f>
        <v>0</v>
      </c>
      <c r="M5" s="12">
        <f>I5+J5+K5+L5</f>
        <v>1815000</v>
      </c>
      <c r="N5" s="14">
        <f>M5*10%</f>
        <v>181500</v>
      </c>
      <c r="O5" s="12">
        <f>M5*1%</f>
        <v>18150</v>
      </c>
      <c r="P5" s="12">
        <f>M5-N5-O5</f>
        <v>1615350</v>
      </c>
    </row>
    <row r="6" spans="1:16" x14ac:dyDescent="0.3">
      <c r="A6" s="2">
        <v>2</v>
      </c>
      <c r="B6" s="2">
        <v>1002</v>
      </c>
      <c r="C6" s="2" t="s">
        <v>19</v>
      </c>
      <c r="D6" s="10">
        <v>35126</v>
      </c>
      <c r="E6" s="18">
        <f t="shared" ref="E6:E17" si="0">YEAR($A$3)-YEAR(D6)</f>
        <v>13</v>
      </c>
      <c r="F6" s="2" t="s">
        <v>32</v>
      </c>
      <c r="G6" s="2" t="s">
        <v>40</v>
      </c>
      <c r="H6" s="4">
        <v>3</v>
      </c>
      <c r="I6" s="12">
        <f>VLOOKUP(RIGHT(F6,1),TBL_GAJI,2,0)</f>
        <v>1250000</v>
      </c>
      <c r="J6" s="15">
        <f t="shared" ref="J6:J17" si="1">IF(G6="KAWIN",(I6*10%),0)</f>
        <v>125000</v>
      </c>
      <c r="K6" s="15">
        <f t="shared" ref="K6:K17" si="2">IF(H6&gt;=1,2%*I6,0)</f>
        <v>25000</v>
      </c>
      <c r="L6" s="13">
        <f t="shared" ref="L6:L17" si="3">IF(AND(G6="KAWIN",H6&gt;=2),3*(5500*10),IF(AND(G6="KAWIN",H6=3,H6&lt;=1),1*(5500*10),0))</f>
        <v>165000</v>
      </c>
      <c r="M6" s="12">
        <f>I6+J6+K6+L6</f>
        <v>1565000</v>
      </c>
      <c r="N6" s="14">
        <f t="shared" ref="N6:N17" si="4">M6*10%</f>
        <v>156500</v>
      </c>
      <c r="O6" s="12">
        <f t="shared" ref="O6:O17" si="5">M6*1%</f>
        <v>15650</v>
      </c>
      <c r="P6" s="12">
        <f t="shared" ref="P6:P17" si="6">M6-N6-O6</f>
        <v>1392850</v>
      </c>
    </row>
    <row r="7" spans="1:16" x14ac:dyDescent="0.3">
      <c r="A7" s="2">
        <v>3</v>
      </c>
      <c r="B7" s="2">
        <v>1003</v>
      </c>
      <c r="C7" s="2" t="s">
        <v>20</v>
      </c>
      <c r="D7" s="10">
        <v>35797</v>
      </c>
      <c r="E7" s="18">
        <f t="shared" si="0"/>
        <v>11</v>
      </c>
      <c r="F7" s="2" t="s">
        <v>33</v>
      </c>
      <c r="G7" s="2" t="s">
        <v>40</v>
      </c>
      <c r="H7" s="4">
        <v>1</v>
      </c>
      <c r="I7" s="12">
        <f>VLOOKUP(RIGHT(F7,1),TBL_GAJI,2,0)</f>
        <v>1450000</v>
      </c>
      <c r="J7" s="15">
        <f t="shared" si="1"/>
        <v>145000</v>
      </c>
      <c r="K7" s="15">
        <f t="shared" si="2"/>
        <v>29000</v>
      </c>
      <c r="L7" s="13">
        <f t="shared" si="3"/>
        <v>0</v>
      </c>
      <c r="M7" s="12">
        <f t="shared" ref="M6:M17" si="7">I7+J7+K7+L7</f>
        <v>1624000</v>
      </c>
      <c r="N7" s="14">
        <f t="shared" si="4"/>
        <v>162400</v>
      </c>
      <c r="O7" s="12">
        <f t="shared" si="5"/>
        <v>16240</v>
      </c>
      <c r="P7" s="12">
        <f t="shared" si="6"/>
        <v>1445360</v>
      </c>
    </row>
    <row r="8" spans="1:16" x14ac:dyDescent="0.3">
      <c r="A8" s="2">
        <v>4</v>
      </c>
      <c r="B8" s="2">
        <v>1004</v>
      </c>
      <c r="C8" s="2" t="s">
        <v>21</v>
      </c>
      <c r="D8" s="11">
        <v>35797</v>
      </c>
      <c r="E8" s="18">
        <f t="shared" si="0"/>
        <v>11</v>
      </c>
      <c r="F8" s="2" t="s">
        <v>33</v>
      </c>
      <c r="G8" s="2" t="s">
        <v>40</v>
      </c>
      <c r="H8" s="4">
        <v>1</v>
      </c>
      <c r="I8" s="12">
        <f>VLOOKUP(RIGHT(F8,1),TBL_GAJI,2,0)</f>
        <v>1450000</v>
      </c>
      <c r="J8" s="15">
        <f t="shared" si="1"/>
        <v>145000</v>
      </c>
      <c r="K8" s="15">
        <f t="shared" si="2"/>
        <v>29000</v>
      </c>
      <c r="L8" s="13">
        <f t="shared" si="3"/>
        <v>0</v>
      </c>
      <c r="M8" s="12">
        <f t="shared" si="7"/>
        <v>1624000</v>
      </c>
      <c r="N8" s="14">
        <f t="shared" si="4"/>
        <v>162400</v>
      </c>
      <c r="O8" s="12">
        <f t="shared" si="5"/>
        <v>16240</v>
      </c>
      <c r="P8" s="12">
        <f t="shared" si="6"/>
        <v>1445360</v>
      </c>
    </row>
    <row r="9" spans="1:16" x14ac:dyDescent="0.3">
      <c r="A9" s="2">
        <v>5</v>
      </c>
      <c r="B9" s="2">
        <v>1005</v>
      </c>
      <c r="C9" s="2" t="s">
        <v>22</v>
      </c>
      <c r="D9" s="10">
        <v>32510</v>
      </c>
      <c r="E9" s="18">
        <f t="shared" si="0"/>
        <v>20</v>
      </c>
      <c r="F9" s="2" t="s">
        <v>32</v>
      </c>
      <c r="G9" s="2" t="s">
        <v>41</v>
      </c>
      <c r="H9" s="4">
        <v>0</v>
      </c>
      <c r="I9" s="12">
        <f>VLOOKUP(RIGHT(F9,1),TBL_GAJI,2,0)</f>
        <v>1250000</v>
      </c>
      <c r="J9" s="15">
        <f t="shared" si="1"/>
        <v>0</v>
      </c>
      <c r="K9" s="15">
        <f t="shared" si="2"/>
        <v>0</v>
      </c>
      <c r="L9" s="13">
        <f t="shared" si="3"/>
        <v>0</v>
      </c>
      <c r="M9" s="12">
        <f t="shared" si="7"/>
        <v>1250000</v>
      </c>
      <c r="N9" s="14">
        <f t="shared" si="4"/>
        <v>125000</v>
      </c>
      <c r="O9" s="12">
        <f t="shared" si="5"/>
        <v>12500</v>
      </c>
      <c r="P9" s="12">
        <f t="shared" si="6"/>
        <v>1112500</v>
      </c>
    </row>
    <row r="10" spans="1:16" x14ac:dyDescent="0.3">
      <c r="A10" s="2">
        <v>6</v>
      </c>
      <c r="B10" s="2">
        <v>1006</v>
      </c>
      <c r="C10" s="2" t="s">
        <v>23</v>
      </c>
      <c r="D10" s="10">
        <v>36527</v>
      </c>
      <c r="E10" s="18">
        <f t="shared" si="0"/>
        <v>9</v>
      </c>
      <c r="F10" s="2" t="s">
        <v>34</v>
      </c>
      <c r="G10" s="2" t="s">
        <v>40</v>
      </c>
      <c r="H10" s="4">
        <v>2</v>
      </c>
      <c r="I10" s="12">
        <f>VLOOKUP(RIGHT(F10,1),TBL_GAJI,2,0)</f>
        <v>2100000</v>
      </c>
      <c r="J10" s="15">
        <f t="shared" si="1"/>
        <v>210000</v>
      </c>
      <c r="K10" s="15">
        <f t="shared" si="2"/>
        <v>42000</v>
      </c>
      <c r="L10" s="13">
        <f t="shared" si="3"/>
        <v>165000</v>
      </c>
      <c r="M10" s="12">
        <f t="shared" si="7"/>
        <v>2517000</v>
      </c>
      <c r="N10" s="14">
        <f t="shared" si="4"/>
        <v>251700</v>
      </c>
      <c r="O10" s="12">
        <f t="shared" si="5"/>
        <v>25170</v>
      </c>
      <c r="P10" s="12">
        <f t="shared" si="6"/>
        <v>2240130</v>
      </c>
    </row>
    <row r="11" spans="1:16" x14ac:dyDescent="0.3">
      <c r="A11" s="2">
        <v>7</v>
      </c>
      <c r="B11" s="2">
        <v>1007</v>
      </c>
      <c r="C11" s="2" t="s">
        <v>24</v>
      </c>
      <c r="D11" s="10">
        <v>36893</v>
      </c>
      <c r="E11" s="18">
        <f t="shared" si="0"/>
        <v>8</v>
      </c>
      <c r="F11" s="2" t="s">
        <v>35</v>
      </c>
      <c r="G11" s="2" t="s">
        <v>40</v>
      </c>
      <c r="H11" s="4">
        <v>0</v>
      </c>
      <c r="I11" s="12">
        <f>VLOOKUP(RIGHT(F11,1),TBL_GAJI,2,0)</f>
        <v>1250000</v>
      </c>
      <c r="J11" s="15">
        <f t="shared" si="1"/>
        <v>125000</v>
      </c>
      <c r="K11" s="15">
        <f t="shared" si="2"/>
        <v>0</v>
      </c>
      <c r="L11" s="13">
        <f t="shared" si="3"/>
        <v>0</v>
      </c>
      <c r="M11" s="12">
        <f t="shared" si="7"/>
        <v>1375000</v>
      </c>
      <c r="N11" s="14">
        <f t="shared" si="4"/>
        <v>137500</v>
      </c>
      <c r="O11" s="12">
        <f t="shared" si="5"/>
        <v>13750</v>
      </c>
      <c r="P11" s="12">
        <f t="shared" si="6"/>
        <v>1223750</v>
      </c>
    </row>
    <row r="12" spans="1:16" x14ac:dyDescent="0.3">
      <c r="A12" s="2">
        <v>8</v>
      </c>
      <c r="B12" s="2">
        <v>1008</v>
      </c>
      <c r="C12" s="2" t="s">
        <v>25</v>
      </c>
      <c r="D12" s="10">
        <v>37258</v>
      </c>
      <c r="E12" s="18">
        <f t="shared" si="0"/>
        <v>7</v>
      </c>
      <c r="F12" s="2" t="s">
        <v>32</v>
      </c>
      <c r="G12" s="2" t="s">
        <v>41</v>
      </c>
      <c r="H12" s="4">
        <v>0</v>
      </c>
      <c r="I12" s="12">
        <f>VLOOKUP(RIGHT(F12,1),TBL_GAJI,2,0)</f>
        <v>1250000</v>
      </c>
      <c r="J12" s="15">
        <f t="shared" si="1"/>
        <v>0</v>
      </c>
      <c r="K12" s="15">
        <f t="shared" si="2"/>
        <v>0</v>
      </c>
      <c r="L12" s="13">
        <f t="shared" si="3"/>
        <v>0</v>
      </c>
      <c r="M12" s="12">
        <f t="shared" si="7"/>
        <v>1250000</v>
      </c>
      <c r="N12" s="14">
        <f t="shared" si="4"/>
        <v>125000</v>
      </c>
      <c r="O12" s="12">
        <f t="shared" si="5"/>
        <v>12500</v>
      </c>
      <c r="P12" s="12">
        <f t="shared" si="6"/>
        <v>1112500</v>
      </c>
    </row>
    <row r="13" spans="1:16" x14ac:dyDescent="0.3">
      <c r="A13" s="2">
        <v>9</v>
      </c>
      <c r="B13" s="2">
        <v>1009</v>
      </c>
      <c r="C13" s="2" t="s">
        <v>26</v>
      </c>
      <c r="D13" s="10">
        <v>37988</v>
      </c>
      <c r="E13" s="18">
        <f t="shared" si="0"/>
        <v>5</v>
      </c>
      <c r="F13" s="2" t="s">
        <v>36</v>
      </c>
      <c r="G13" s="2" t="s">
        <v>40</v>
      </c>
      <c r="H13" s="4">
        <v>1</v>
      </c>
      <c r="I13" s="12">
        <f>VLOOKUP(RIGHT(F13,1),TBL_GAJI,2,0)</f>
        <v>2100000</v>
      </c>
      <c r="J13" s="15">
        <f t="shared" si="1"/>
        <v>210000</v>
      </c>
      <c r="K13" s="15">
        <f t="shared" si="2"/>
        <v>42000</v>
      </c>
      <c r="L13" s="13">
        <f t="shared" si="3"/>
        <v>0</v>
      </c>
      <c r="M13" s="12">
        <f t="shared" si="7"/>
        <v>2352000</v>
      </c>
      <c r="N13" s="14">
        <f t="shared" si="4"/>
        <v>235200</v>
      </c>
      <c r="O13" s="12">
        <f t="shared" si="5"/>
        <v>23520</v>
      </c>
      <c r="P13" s="12">
        <f t="shared" si="6"/>
        <v>2093280</v>
      </c>
    </row>
    <row r="14" spans="1:16" x14ac:dyDescent="0.3">
      <c r="A14" s="2">
        <v>10</v>
      </c>
      <c r="B14" s="2">
        <v>1010</v>
      </c>
      <c r="C14" s="2" t="s">
        <v>27</v>
      </c>
      <c r="D14" s="10">
        <v>37988</v>
      </c>
      <c r="E14" s="18">
        <f t="shared" si="0"/>
        <v>5</v>
      </c>
      <c r="F14" s="2" t="s">
        <v>36</v>
      </c>
      <c r="G14" s="2" t="s">
        <v>41</v>
      </c>
      <c r="H14" s="4">
        <v>0</v>
      </c>
      <c r="I14" s="12">
        <f>VLOOKUP(RIGHT(F14,1),TBL_GAJI,2,0)</f>
        <v>2100000</v>
      </c>
      <c r="J14" s="15">
        <f t="shared" si="1"/>
        <v>0</v>
      </c>
      <c r="K14" s="15">
        <f t="shared" si="2"/>
        <v>0</v>
      </c>
      <c r="L14" s="13">
        <f t="shared" si="3"/>
        <v>0</v>
      </c>
      <c r="M14" s="12">
        <f t="shared" si="7"/>
        <v>2100000</v>
      </c>
      <c r="N14" s="14">
        <f t="shared" si="4"/>
        <v>210000</v>
      </c>
      <c r="O14" s="12">
        <f t="shared" si="5"/>
        <v>21000</v>
      </c>
      <c r="P14" s="12">
        <f t="shared" si="6"/>
        <v>1869000</v>
      </c>
    </row>
    <row r="15" spans="1:16" x14ac:dyDescent="0.3">
      <c r="A15" s="2">
        <v>11</v>
      </c>
      <c r="B15" s="2">
        <v>1011</v>
      </c>
      <c r="C15" s="2" t="s">
        <v>28</v>
      </c>
      <c r="D15" s="10">
        <v>37988</v>
      </c>
      <c r="E15" s="18">
        <f t="shared" si="0"/>
        <v>5</v>
      </c>
      <c r="F15" s="2" t="s">
        <v>37</v>
      </c>
      <c r="G15" s="2" t="s">
        <v>40</v>
      </c>
      <c r="H15" s="4">
        <v>3</v>
      </c>
      <c r="I15" s="12">
        <f>VLOOKUP(RIGHT(F15,1),TBL_GAJI,2,0)</f>
        <v>2100000</v>
      </c>
      <c r="J15" s="15">
        <f t="shared" si="1"/>
        <v>210000</v>
      </c>
      <c r="K15" s="15">
        <f t="shared" si="2"/>
        <v>42000</v>
      </c>
      <c r="L15" s="13">
        <f t="shared" si="3"/>
        <v>165000</v>
      </c>
      <c r="M15" s="12">
        <f t="shared" si="7"/>
        <v>2517000</v>
      </c>
      <c r="N15" s="14">
        <f t="shared" si="4"/>
        <v>251700</v>
      </c>
      <c r="O15" s="12">
        <f t="shared" si="5"/>
        <v>25170</v>
      </c>
      <c r="P15" s="12">
        <f t="shared" si="6"/>
        <v>2240130</v>
      </c>
    </row>
    <row r="16" spans="1:16" x14ac:dyDescent="0.3">
      <c r="A16" s="2">
        <v>12</v>
      </c>
      <c r="B16" s="2">
        <v>1012</v>
      </c>
      <c r="C16" s="2" t="s">
        <v>30</v>
      </c>
      <c r="D16" s="10">
        <v>38354</v>
      </c>
      <c r="E16" s="18">
        <f t="shared" si="0"/>
        <v>4</v>
      </c>
      <c r="F16" s="2" t="s">
        <v>38</v>
      </c>
      <c r="G16" s="2" t="s">
        <v>41</v>
      </c>
      <c r="H16" s="4">
        <v>0</v>
      </c>
      <c r="I16" s="12">
        <f>VLOOKUP(RIGHT(F16,1),TBL_GAJI,2,0)</f>
        <v>2100000</v>
      </c>
      <c r="J16" s="15">
        <f t="shared" si="1"/>
        <v>0</v>
      </c>
      <c r="K16" s="15">
        <f t="shared" si="2"/>
        <v>0</v>
      </c>
      <c r="L16" s="13">
        <f t="shared" si="3"/>
        <v>0</v>
      </c>
      <c r="M16" s="12">
        <f t="shared" si="7"/>
        <v>2100000</v>
      </c>
      <c r="N16" s="14">
        <f t="shared" si="4"/>
        <v>210000</v>
      </c>
      <c r="O16" s="12">
        <f t="shared" si="5"/>
        <v>21000</v>
      </c>
      <c r="P16" s="12">
        <f t="shared" si="6"/>
        <v>1869000</v>
      </c>
    </row>
    <row r="17" spans="1:16" x14ac:dyDescent="0.3">
      <c r="A17" s="2">
        <v>13</v>
      </c>
      <c r="B17" s="2">
        <v>1013</v>
      </c>
      <c r="C17" s="2" t="s">
        <v>29</v>
      </c>
      <c r="D17" s="10">
        <v>38719</v>
      </c>
      <c r="E17" s="18">
        <f t="shared" si="0"/>
        <v>3</v>
      </c>
      <c r="F17" s="2" t="s">
        <v>39</v>
      </c>
      <c r="G17" s="2" t="s">
        <v>40</v>
      </c>
      <c r="H17" s="4">
        <v>4</v>
      </c>
      <c r="I17" s="12">
        <f>VLOOKUP(RIGHT(F17,1),TBL_GAJI,2,0)</f>
        <v>2450000</v>
      </c>
      <c r="J17" s="15">
        <f t="shared" si="1"/>
        <v>245000</v>
      </c>
      <c r="K17" s="15">
        <f t="shared" si="2"/>
        <v>49000</v>
      </c>
      <c r="L17" s="13">
        <f t="shared" si="3"/>
        <v>165000</v>
      </c>
      <c r="M17" s="12">
        <f t="shared" si="7"/>
        <v>2909000</v>
      </c>
      <c r="N17" s="14">
        <f t="shared" si="4"/>
        <v>290900</v>
      </c>
      <c r="O17" s="12">
        <f t="shared" si="5"/>
        <v>29090</v>
      </c>
      <c r="P17" s="12">
        <f t="shared" si="6"/>
        <v>2589010</v>
      </c>
    </row>
    <row r="18" spans="1:16" x14ac:dyDescent="0.3">
      <c r="A18" s="9" t="s">
        <v>17</v>
      </c>
      <c r="B18" s="9"/>
      <c r="C18" s="9"/>
      <c r="D18" s="9"/>
      <c r="E18" s="9"/>
      <c r="F18" s="9"/>
      <c r="G18" s="9"/>
      <c r="H18" s="4"/>
      <c r="I18" s="2"/>
      <c r="J18" s="2"/>
      <c r="K18" s="2"/>
      <c r="L18" s="2"/>
      <c r="M18" s="2"/>
      <c r="N18" s="6"/>
      <c r="O18" s="2"/>
      <c r="P18" s="2"/>
    </row>
    <row r="23" spans="1:16" x14ac:dyDescent="0.3">
      <c r="D23" s="22" t="s">
        <v>48</v>
      </c>
      <c r="E23" s="22"/>
      <c r="F23" s="22"/>
    </row>
    <row r="24" spans="1:16" x14ac:dyDescent="0.3">
      <c r="D24" s="2" t="s">
        <v>49</v>
      </c>
      <c r="E24" s="25">
        <v>1002</v>
      </c>
      <c r="F24" s="26"/>
    </row>
    <row r="25" spans="1:16" x14ac:dyDescent="0.3">
      <c r="D25" s="2" t="s">
        <v>3</v>
      </c>
      <c r="E25" s="23" t="str">
        <f>VLOOKUP(E24,DAFT,2,0)</f>
        <v>SARUL</v>
      </c>
      <c r="F25" s="23"/>
    </row>
    <row r="26" spans="1:16" x14ac:dyDescent="0.3">
      <c r="D26" s="2" t="s">
        <v>5</v>
      </c>
      <c r="E26" s="24">
        <f>VLOOKUP(E24,DAFT,4,0)</f>
        <v>13</v>
      </c>
      <c r="F26" s="24"/>
    </row>
    <row r="27" spans="1:16" x14ac:dyDescent="0.3">
      <c r="D27" s="2" t="s">
        <v>6</v>
      </c>
      <c r="E27" s="25" t="str">
        <f>VLOOKUP(E24,DAFT,5,0)</f>
        <v>3A</v>
      </c>
      <c r="F27" s="26"/>
    </row>
    <row r="28" spans="1:16" x14ac:dyDescent="0.3">
      <c r="D28" s="2" t="s">
        <v>50</v>
      </c>
      <c r="E28" s="23" t="str">
        <f>VLOOKUP(E24,DAFT,6,0)</f>
        <v>KAWIN</v>
      </c>
      <c r="F28" s="23"/>
    </row>
    <row r="29" spans="1:16" x14ac:dyDescent="0.3">
      <c r="D29" s="2" t="s">
        <v>8</v>
      </c>
      <c r="E29" s="30">
        <f>VLOOKUP(E24,DAFT,7,0)</f>
        <v>3</v>
      </c>
      <c r="F29" s="30"/>
    </row>
    <row r="30" spans="1:16" x14ac:dyDescent="0.3">
      <c r="D30" s="2" t="s">
        <v>9</v>
      </c>
      <c r="E30" s="2"/>
      <c r="F30" s="15">
        <f>VLOOKUP(E24,DAFT,8,0)</f>
        <v>1250000</v>
      </c>
    </row>
    <row r="31" spans="1:16" x14ac:dyDescent="0.3">
      <c r="D31" s="2" t="s">
        <v>56</v>
      </c>
      <c r="E31" s="19">
        <v>1</v>
      </c>
      <c r="F31" s="15">
        <f>VLOOKUP(E24,DAFT,8,0)</f>
        <v>1250000</v>
      </c>
    </row>
    <row r="32" spans="1:16" x14ac:dyDescent="0.3">
      <c r="D32" s="2" t="s">
        <v>51</v>
      </c>
      <c r="E32" s="20">
        <v>0.1</v>
      </c>
      <c r="F32" s="15">
        <f>VLOOKUP(E24,DAFT,9,0)</f>
        <v>125000</v>
      </c>
    </row>
    <row r="33" spans="4:6" x14ac:dyDescent="0.3">
      <c r="D33" s="2" t="s">
        <v>52</v>
      </c>
      <c r="E33" s="20">
        <v>0.02</v>
      </c>
      <c r="F33" s="15">
        <f>VLOOKUP(E24,DAFT,10,0)</f>
        <v>25000</v>
      </c>
    </row>
    <row r="34" spans="4:6" x14ac:dyDescent="0.3">
      <c r="D34" s="2" t="s">
        <v>12</v>
      </c>
      <c r="E34" s="21">
        <v>10</v>
      </c>
      <c r="F34" s="15">
        <f>VLOOKUP(E24,DAFT,11,0)</f>
        <v>165000</v>
      </c>
    </row>
    <row r="35" spans="4:6" x14ac:dyDescent="0.3">
      <c r="D35" s="2" t="s">
        <v>13</v>
      </c>
      <c r="E35" s="2"/>
      <c r="F35" s="15">
        <f>VLOOKUP(E24,DAFT,12,0)</f>
        <v>1565000</v>
      </c>
    </row>
    <row r="36" spans="4:6" x14ac:dyDescent="0.3">
      <c r="D36" s="2" t="s">
        <v>53</v>
      </c>
      <c r="E36" s="20">
        <v>0.1</v>
      </c>
      <c r="F36" s="15">
        <f>VLOOKUP(E24,DAFT,13,0)</f>
        <v>156500</v>
      </c>
    </row>
    <row r="37" spans="4:6" x14ac:dyDescent="0.3">
      <c r="D37" s="2" t="s">
        <v>54</v>
      </c>
      <c r="E37" s="20">
        <v>0.01</v>
      </c>
      <c r="F37" s="15">
        <f>VLOOKUP(E24,DAFT,14,0)</f>
        <v>15650</v>
      </c>
    </row>
    <row r="38" spans="4:6" x14ac:dyDescent="0.3">
      <c r="D38" s="27" t="s">
        <v>16</v>
      </c>
      <c r="E38" s="28"/>
      <c r="F38" s="29">
        <f>VLOOKUP(E24,DAFT,15,0)</f>
        <v>1392850</v>
      </c>
    </row>
    <row r="39" spans="4:6" x14ac:dyDescent="0.3">
      <c r="D39" s="27" t="s">
        <v>55</v>
      </c>
      <c r="E39" s="28"/>
      <c r="F39" s="29">
        <f>ROUND(F38,-2)</f>
        <v>1392900</v>
      </c>
    </row>
  </sheetData>
  <mergeCells count="13">
    <mergeCell ref="D38:E38"/>
    <mergeCell ref="D39:E39"/>
    <mergeCell ref="E26:F26"/>
    <mergeCell ref="E27:F27"/>
    <mergeCell ref="E28:F28"/>
    <mergeCell ref="E29:F29"/>
    <mergeCell ref="D23:F23"/>
    <mergeCell ref="E24:F24"/>
    <mergeCell ref="E25:F25"/>
    <mergeCell ref="A18:G18"/>
    <mergeCell ref="A3:P3"/>
    <mergeCell ref="A2:P2"/>
    <mergeCell ref="A1:P1"/>
  </mergeCells>
  <dataValidations count="1">
    <dataValidation type="list" allowBlank="1" showInputMessage="1" showErrorMessage="1" sqref="E24:F24" xr:uid="{F5747B8B-CFEE-4DD1-A3C1-AD6A1B9DAB1E}">
      <formula1>$B$5:$B$17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82D-EBED-48F5-8817-E6B1411F5ED3}">
  <dimension ref="A1:B8"/>
  <sheetViews>
    <sheetView workbookViewId="0">
      <selection activeCell="A3" sqref="A3:B8"/>
    </sheetView>
  </sheetViews>
  <sheetFormatPr defaultRowHeight="14.4" x14ac:dyDescent="0.3"/>
  <cols>
    <col min="2" max="2" width="12.5546875" bestFit="1" customWidth="1"/>
  </cols>
  <sheetData>
    <row r="1" spans="1:2" x14ac:dyDescent="0.3">
      <c r="A1" t="s">
        <v>42</v>
      </c>
    </row>
    <row r="3" spans="1:2" x14ac:dyDescent="0.3">
      <c r="A3" s="2" t="s">
        <v>6</v>
      </c>
      <c r="B3" s="2" t="s">
        <v>9</v>
      </c>
    </row>
    <row r="4" spans="1:2" x14ac:dyDescent="0.3">
      <c r="A4" s="2" t="s">
        <v>43</v>
      </c>
      <c r="B4" s="15">
        <v>1250000</v>
      </c>
    </row>
    <row r="5" spans="1:2" x14ac:dyDescent="0.3">
      <c r="A5" s="2" t="s">
        <v>44</v>
      </c>
      <c r="B5" s="15">
        <v>1450000</v>
      </c>
    </row>
    <row r="6" spans="1:2" x14ac:dyDescent="0.3">
      <c r="A6" s="2" t="s">
        <v>45</v>
      </c>
      <c r="B6" s="15">
        <v>1650000</v>
      </c>
    </row>
    <row r="7" spans="1:2" x14ac:dyDescent="0.3">
      <c r="A7" s="2" t="s">
        <v>46</v>
      </c>
      <c r="B7" s="15">
        <v>2100000</v>
      </c>
    </row>
    <row r="8" spans="1:2" x14ac:dyDescent="0.3">
      <c r="A8" s="2" t="s">
        <v>47</v>
      </c>
      <c r="B8" s="15">
        <v>2450000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DAFT</vt:lpstr>
      <vt:lpstr>DFR_GJI_PEGAWAI</vt:lpstr>
      <vt:lpstr>TBL_GAJI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offis.ori6578@outlook.com</dc:creator>
  <cp:lastModifiedBy>offis.ori6578@outlook.com</cp:lastModifiedBy>
  <dcterms:created xsi:type="dcterms:W3CDTF">2026-03-05T01:34:23Z</dcterms:created>
  <dcterms:modified xsi:type="dcterms:W3CDTF">2026-03-05T05:52:57Z</dcterms:modified>
</cp:coreProperties>
</file>