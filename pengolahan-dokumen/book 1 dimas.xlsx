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FO\"/>
    </mc:Choice>
  </mc:AlternateContent>
  <xr:revisionPtr revIDLastSave="0" documentId="13_ncr:1_{1D8FE9F7-6A44-4562-9988-E24BEF0E7CBF}" xr6:coauthVersionLast="47" xr6:coauthVersionMax="47" xr10:uidLastSave="{00000000-0000-0000-0000-000000000000}"/>
  <bookViews>
    <workbookView minimized="1" xWindow="4776" yWindow="3528" windowWidth="17280" windowHeight="8916" firstSheet="17" activeTab="17" xr2:uid="{72C38537-285D-4299-9DCA-5757447579F0}"/>
  </bookViews>
  <sheets>
    <sheet name="LATIHAN 1" sheetId="1" r:id="rId1"/>
    <sheet name="LATIHAN 2" sheetId="2" r:id="rId2"/>
    <sheet name="ARITMATIKA" sheetId="3" r:id="rId3"/>
    <sheet name="STATISTIK" sheetId="4" r:id="rId4"/>
    <sheet name="LATIHAN STATISTIK ARITMATIKA" sheetId="5" r:id="rId5"/>
    <sheet name="Absulote cell" sheetId="6" r:id="rId6"/>
    <sheet name="Latihan Absulote cell" sheetId="8" r:id="rId7"/>
    <sheet name="Fungsi string" sheetId="9" r:id="rId8"/>
    <sheet name="LATIHAN FUNGS STRING" sheetId="10" r:id="rId9"/>
    <sheet name="Fungsi IF" sheetId="11" r:id="rId10"/>
    <sheet name="Latihan If" sheetId="12" r:id="rId11"/>
    <sheet name="Latihan if ke-2" sheetId="13" r:id="rId12"/>
    <sheet name="IF&amp;AND&amp;OR" sheetId="14" r:id="rId13"/>
    <sheet name="LATIHAN" sheetId="15" r:id="rId14"/>
    <sheet name="IF&amp;STRING" sheetId="16" r:id="rId15"/>
    <sheet name="Latihan if dan String" sheetId="17" r:id="rId16"/>
    <sheet name="lATIHAN IF&amp;STRING 2" sheetId="18" r:id="rId17"/>
    <sheet name="LOOKUP" sheetId="19" r:id="rId18"/>
    <sheet name="Latihan LOOKUP" sheetId="20" r:id="rId19"/>
    <sheet name="LOOKUP&amp;STRING" sheetId="21" r:id="rId20"/>
    <sheet name="Latihan lookup&amp;string" sheetId="22" r:id="rId21"/>
    <sheet name="typebrg" sheetId="23" r:id="rId22"/>
    <sheet name="na_brg" sheetId="24" r:id="rId23"/>
    <sheet name="Soal A" sheetId="28" r:id="rId24"/>
    <sheet name="Tabel tiket_pswt" sheetId="29" r:id="rId25"/>
    <sheet name="Soal B" sheetId="30" r:id="rId26"/>
    <sheet name="Tabel tiket_kerta" sheetId="31" r:id="rId27"/>
  </sheets>
  <definedNames>
    <definedName name="Asal">'LOOKUP&amp;STRING'!$E$8:$G$9</definedName>
    <definedName name="buah">'LOOKUP&amp;STRING'!$B$8:$C$11</definedName>
    <definedName name="BUKU">LOOKUP!$B$8:$C$11</definedName>
    <definedName name="Gaji">'Latihan LOOKUP'!$B$16:$E$17</definedName>
    <definedName name="Harga">LOOKUP!$E$8:$H$9</definedName>
    <definedName name="N_BRG">na_brg!$A$2:$C$5</definedName>
    <definedName name="NAMA">'Latihan LOOKUP'!$G$16:$I$23</definedName>
    <definedName name="TABEL_TIKET">'Tabel tiket_pswt'!$A$1:$C$6</definedName>
    <definedName name="ttb_krt">'Tabel tiket_kerta'!$A$1:$D$6</definedName>
    <definedName name="tyPE_BRG">typebrg!$A$2:$B$5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0" l="1"/>
  <c r="I8" i="30"/>
  <c r="I9" i="30"/>
  <c r="I10" i="30"/>
  <c r="I11" i="30"/>
  <c r="F7" i="30"/>
  <c r="J7" i="30" s="1"/>
  <c r="F8" i="30"/>
  <c r="J8" i="30" s="1"/>
  <c r="F9" i="30"/>
  <c r="J9" i="30" s="1"/>
  <c r="F10" i="30"/>
  <c r="J10" i="30" s="1"/>
  <c r="F11" i="30"/>
  <c r="J11" i="30" s="1"/>
  <c r="F12" i="30"/>
  <c r="I12" i="30" s="1"/>
  <c r="F6" i="30"/>
  <c r="C6" i="30"/>
  <c r="E7" i="30"/>
  <c r="E8" i="30"/>
  <c r="E9" i="30"/>
  <c r="E10" i="30"/>
  <c r="E11" i="30"/>
  <c r="E12" i="30"/>
  <c r="E6" i="30"/>
  <c r="D7" i="30"/>
  <c r="D8" i="30"/>
  <c r="D9" i="30"/>
  <c r="D10" i="30"/>
  <c r="D11" i="30"/>
  <c r="D12" i="30"/>
  <c r="D6" i="30"/>
  <c r="C7" i="30"/>
  <c r="C8" i="30"/>
  <c r="C9" i="30"/>
  <c r="C10" i="30"/>
  <c r="C11" i="30"/>
  <c r="C12" i="30"/>
  <c r="J8" i="28"/>
  <c r="J9" i="28"/>
  <c r="J10" i="28"/>
  <c r="J11" i="28"/>
  <c r="J12" i="28"/>
  <c r="F8" i="28"/>
  <c r="F9" i="28"/>
  <c r="F10" i="28"/>
  <c r="F11" i="28"/>
  <c r="F12" i="28"/>
  <c r="F13" i="28"/>
  <c r="F7" i="28"/>
  <c r="E7" i="28"/>
  <c r="E8" i="28"/>
  <c r="E9" i="28"/>
  <c r="E10" i="28"/>
  <c r="E11" i="28"/>
  <c r="E12" i="28"/>
  <c r="E13" i="28"/>
  <c r="D7" i="28"/>
  <c r="I7" i="28" s="1"/>
  <c r="D8" i="28"/>
  <c r="I8" i="28" s="1"/>
  <c r="D9" i="28"/>
  <c r="D10" i="28"/>
  <c r="I10" i="28" s="1"/>
  <c r="D11" i="28"/>
  <c r="I11" i="28" s="1"/>
  <c r="D12" i="28"/>
  <c r="I12" i="28" s="1"/>
  <c r="D13" i="28"/>
  <c r="C24" i="22"/>
  <c r="C25" i="22"/>
  <c r="C23" i="22"/>
  <c r="C4" i="22"/>
  <c r="E5" i="22"/>
  <c r="E6" i="22"/>
  <c r="J6" i="22" s="1"/>
  <c r="E7" i="22"/>
  <c r="E8" i="22"/>
  <c r="E9" i="22"/>
  <c r="E10" i="22"/>
  <c r="E11" i="22"/>
  <c r="J5" i="22"/>
  <c r="J4" i="22"/>
  <c r="K6" i="22"/>
  <c r="K7" i="22"/>
  <c r="K9" i="22"/>
  <c r="K11" i="22"/>
  <c r="J7" i="22"/>
  <c r="J8" i="22"/>
  <c r="J9" i="22"/>
  <c r="J11" i="22"/>
  <c r="H5" i="22"/>
  <c r="H6" i="22"/>
  <c r="H7" i="22"/>
  <c r="H8" i="22"/>
  <c r="K8" i="22" s="1"/>
  <c r="L8" i="22" s="1"/>
  <c r="H9" i="22"/>
  <c r="H10" i="22"/>
  <c r="K10" i="22" s="1"/>
  <c r="H11" i="22"/>
  <c r="D5" i="22"/>
  <c r="D6" i="22"/>
  <c r="D7" i="22"/>
  <c r="D8" i="22"/>
  <c r="D9" i="22"/>
  <c r="D10" i="22"/>
  <c r="D11" i="22"/>
  <c r="C5" i="22"/>
  <c r="C6" i="22"/>
  <c r="C7" i="22"/>
  <c r="C8" i="22"/>
  <c r="C9" i="22"/>
  <c r="C10" i="22"/>
  <c r="C11" i="22"/>
  <c r="H4" i="22"/>
  <c r="K4" i="22" s="1"/>
  <c r="E4" i="22"/>
  <c r="D4" i="22"/>
  <c r="D4" i="21"/>
  <c r="D5" i="21"/>
  <c r="D3" i="21"/>
  <c r="C4" i="21"/>
  <c r="C5" i="21"/>
  <c r="C3" i="21"/>
  <c r="L6" i="20"/>
  <c r="D7" i="20"/>
  <c r="D8" i="20"/>
  <c r="D9" i="20"/>
  <c r="D10" i="20"/>
  <c r="D11" i="20"/>
  <c r="D12" i="20"/>
  <c r="M7" i="20"/>
  <c r="M8" i="20"/>
  <c r="M9" i="20"/>
  <c r="M10" i="20"/>
  <c r="M11" i="20"/>
  <c r="M12" i="20"/>
  <c r="M6" i="20"/>
  <c r="L7" i="20"/>
  <c r="L8" i="20"/>
  <c r="L9" i="20"/>
  <c r="L10" i="20"/>
  <c r="L11" i="20"/>
  <c r="L12" i="20"/>
  <c r="F7" i="20"/>
  <c r="G7" i="20"/>
  <c r="H7" i="20"/>
  <c r="I7" i="20"/>
  <c r="J7" i="20"/>
  <c r="F8" i="20"/>
  <c r="G8" i="20"/>
  <c r="H8" i="20"/>
  <c r="I8" i="20"/>
  <c r="J8" i="20"/>
  <c r="F9" i="20"/>
  <c r="I9" i="20" s="1"/>
  <c r="G9" i="20"/>
  <c r="H9" i="20"/>
  <c r="F10" i="20"/>
  <c r="G10" i="20"/>
  <c r="H10" i="20"/>
  <c r="I10" i="20"/>
  <c r="J10" i="20"/>
  <c r="F11" i="20"/>
  <c r="J11" i="20" s="1"/>
  <c r="G11" i="20"/>
  <c r="H11" i="20"/>
  <c r="I11" i="20"/>
  <c r="F12" i="20"/>
  <c r="J12" i="20" s="1"/>
  <c r="G12" i="20"/>
  <c r="H12" i="20"/>
  <c r="J6" i="20"/>
  <c r="I6" i="20"/>
  <c r="H6" i="20"/>
  <c r="G6" i="20"/>
  <c r="F6" i="20"/>
  <c r="D6" i="20"/>
  <c r="D4" i="19"/>
  <c r="D5" i="19"/>
  <c r="D3" i="19"/>
  <c r="C4" i="19"/>
  <c r="C5" i="19"/>
  <c r="C3" i="19"/>
  <c r="J9" i="18"/>
  <c r="J6" i="18"/>
  <c r="J7" i="18"/>
  <c r="J8" i="18"/>
  <c r="J10" i="18"/>
  <c r="J11" i="18"/>
  <c r="J12" i="18"/>
  <c r="J13" i="18"/>
  <c r="J14" i="18"/>
  <c r="J15" i="18"/>
  <c r="I7" i="18"/>
  <c r="I8" i="18"/>
  <c r="I9" i="18"/>
  <c r="I10" i="18"/>
  <c r="I11" i="18"/>
  <c r="I12" i="18"/>
  <c r="I13" i="18"/>
  <c r="I14" i="18"/>
  <c r="I15" i="18"/>
  <c r="I6" i="18"/>
  <c r="D6" i="18"/>
  <c r="F7" i="18"/>
  <c r="F8" i="18"/>
  <c r="F9" i="18"/>
  <c r="F10" i="18"/>
  <c r="F11" i="18"/>
  <c r="F12" i="18"/>
  <c r="F13" i="18"/>
  <c r="F14" i="18"/>
  <c r="F15" i="18"/>
  <c r="F6" i="18"/>
  <c r="G7" i="18"/>
  <c r="G8" i="18"/>
  <c r="G9" i="18"/>
  <c r="G10" i="18"/>
  <c r="G11" i="18"/>
  <c r="G12" i="18"/>
  <c r="G13" i="18"/>
  <c r="G14" i="18"/>
  <c r="G15" i="18"/>
  <c r="G6" i="18"/>
  <c r="E6" i="18"/>
  <c r="E7" i="18"/>
  <c r="E8" i="18"/>
  <c r="E9" i="18"/>
  <c r="E10" i="18"/>
  <c r="E11" i="18"/>
  <c r="E12" i="18"/>
  <c r="E13" i="18"/>
  <c r="E14" i="18"/>
  <c r="E15" i="18"/>
  <c r="D7" i="18"/>
  <c r="D8" i="18"/>
  <c r="D9" i="18"/>
  <c r="D10" i="18"/>
  <c r="D11" i="18"/>
  <c r="D12" i="18"/>
  <c r="D13" i="18"/>
  <c r="D14" i="18"/>
  <c r="D15" i="18"/>
  <c r="H3" i="17"/>
  <c r="H13" i="17" s="1"/>
  <c r="I4" i="17"/>
  <c r="I5" i="17"/>
  <c r="I6" i="17"/>
  <c r="I7" i="17"/>
  <c r="I8" i="17"/>
  <c r="I9" i="17"/>
  <c r="I3" i="17"/>
  <c r="H4" i="17"/>
  <c r="H5" i="17"/>
  <c r="H6" i="17"/>
  <c r="H7" i="17"/>
  <c r="H8" i="17"/>
  <c r="H9" i="17"/>
  <c r="H14" i="17"/>
  <c r="H12" i="17"/>
  <c r="F4" i="17"/>
  <c r="F5" i="17"/>
  <c r="F6" i="17"/>
  <c r="F7" i="17"/>
  <c r="F8" i="17"/>
  <c r="F9" i="17"/>
  <c r="F3" i="17"/>
  <c r="D4" i="17"/>
  <c r="E4" i="17"/>
  <c r="D5" i="17"/>
  <c r="E5" i="17"/>
  <c r="D6" i="17"/>
  <c r="E6" i="17"/>
  <c r="D7" i="17"/>
  <c r="E7" i="17"/>
  <c r="D8" i="17"/>
  <c r="E8" i="17"/>
  <c r="D9" i="17"/>
  <c r="E9" i="17"/>
  <c r="E3" i="17"/>
  <c r="D3" i="17"/>
  <c r="D4" i="16"/>
  <c r="D5" i="16"/>
  <c r="D3" i="16"/>
  <c r="C4" i="16"/>
  <c r="C5" i="16"/>
  <c r="C3" i="16"/>
  <c r="K4" i="15"/>
  <c r="K5" i="15"/>
  <c r="K6" i="15"/>
  <c r="K7" i="15"/>
  <c r="K8" i="15"/>
  <c r="K9" i="15"/>
  <c r="K10" i="15"/>
  <c r="K11" i="15"/>
  <c r="K12" i="15"/>
  <c r="K3" i="15"/>
  <c r="I4" i="15"/>
  <c r="I5" i="15"/>
  <c r="I6" i="15"/>
  <c r="I7" i="15"/>
  <c r="I8" i="15"/>
  <c r="I9" i="15"/>
  <c r="I10" i="15"/>
  <c r="I11" i="15"/>
  <c r="I12" i="15"/>
  <c r="I3" i="15"/>
  <c r="J4" i="15"/>
  <c r="J5" i="15"/>
  <c r="J6" i="15"/>
  <c r="J7" i="15"/>
  <c r="J8" i="15"/>
  <c r="J9" i="15"/>
  <c r="J10" i="15"/>
  <c r="J11" i="15"/>
  <c r="J12" i="15"/>
  <c r="J3" i="15"/>
  <c r="F4" i="15"/>
  <c r="F5" i="15"/>
  <c r="F6" i="15"/>
  <c r="F7" i="15"/>
  <c r="F8" i="15"/>
  <c r="F9" i="15"/>
  <c r="F10" i="15"/>
  <c r="F11" i="15"/>
  <c r="F12" i="15"/>
  <c r="F3" i="15"/>
  <c r="E4" i="15"/>
  <c r="E5" i="15"/>
  <c r="E6" i="15"/>
  <c r="E7" i="15"/>
  <c r="E8" i="15"/>
  <c r="E9" i="15"/>
  <c r="E10" i="15"/>
  <c r="E11" i="15"/>
  <c r="E12" i="15"/>
  <c r="E3" i="15"/>
  <c r="D13" i="14"/>
  <c r="D14" i="14"/>
  <c r="D15" i="14"/>
  <c r="D12" i="14"/>
  <c r="D5" i="14"/>
  <c r="D6" i="14"/>
  <c r="D7" i="14"/>
  <c r="D8" i="14"/>
  <c r="J5" i="13"/>
  <c r="I6" i="13"/>
  <c r="J6" i="13"/>
  <c r="E5" i="13"/>
  <c r="F5" i="13"/>
  <c r="E6" i="13"/>
  <c r="F6" i="13"/>
  <c r="H6" i="13" s="1"/>
  <c r="E7" i="13"/>
  <c r="H7" i="13" s="1"/>
  <c r="F7" i="13"/>
  <c r="E8" i="13"/>
  <c r="F8" i="13"/>
  <c r="E9" i="13"/>
  <c r="F9" i="13"/>
  <c r="E10" i="13"/>
  <c r="F10" i="13"/>
  <c r="E4" i="13"/>
  <c r="I4" i="13" s="1"/>
  <c r="F4" i="13"/>
  <c r="H5" i="12"/>
  <c r="K5" i="12" s="1"/>
  <c r="H6" i="12"/>
  <c r="K6" i="12" s="1"/>
  <c r="H7" i="12"/>
  <c r="K7" i="12" s="1"/>
  <c r="H8" i="12"/>
  <c r="I8" i="12" s="1"/>
  <c r="J8" i="12" s="1"/>
  <c r="H9" i="12"/>
  <c r="I9" i="12" s="1"/>
  <c r="J9" i="12" s="1"/>
  <c r="H10" i="12"/>
  <c r="I10" i="12" s="1"/>
  <c r="J10" i="12" s="1"/>
  <c r="H11" i="12"/>
  <c r="I11" i="12" s="1"/>
  <c r="J11" i="12" s="1"/>
  <c r="H12" i="12"/>
  <c r="I12" i="12" s="1"/>
  <c r="J12" i="12" s="1"/>
  <c r="H13" i="12"/>
  <c r="I13" i="12" s="1"/>
  <c r="J13" i="12" s="1"/>
  <c r="K6" i="30" l="1"/>
  <c r="K12" i="30"/>
  <c r="K11" i="30"/>
  <c r="K10" i="30"/>
  <c r="K9" i="30"/>
  <c r="K8" i="30"/>
  <c r="K7" i="30"/>
  <c r="J12" i="30"/>
  <c r="I6" i="30"/>
  <c r="J6" i="30"/>
  <c r="I9" i="28"/>
  <c r="K9" i="28" s="1"/>
  <c r="K11" i="28"/>
  <c r="K10" i="28"/>
  <c r="K8" i="28"/>
  <c r="K12" i="28"/>
  <c r="I13" i="28"/>
  <c r="J7" i="28"/>
  <c r="J13" i="28"/>
  <c r="K5" i="22"/>
  <c r="L5" i="22" s="1"/>
  <c r="L4" i="22"/>
  <c r="L6" i="22"/>
  <c r="L7" i="22"/>
  <c r="L9" i="22"/>
  <c r="L11" i="22"/>
  <c r="J10" i="22"/>
  <c r="L10" i="22" s="1"/>
  <c r="I12" i="20"/>
  <c r="J9" i="20"/>
  <c r="H10" i="17"/>
  <c r="H11" i="17"/>
  <c r="K7" i="13"/>
  <c r="H8" i="13"/>
  <c r="K6" i="13"/>
  <c r="H5" i="13"/>
  <c r="H10" i="13"/>
  <c r="J7" i="13"/>
  <c r="I7" i="13"/>
  <c r="H9" i="13"/>
  <c r="J10" i="13"/>
  <c r="I10" i="13"/>
  <c r="K10" i="13" s="1"/>
  <c r="J9" i="13"/>
  <c r="I9" i="13"/>
  <c r="K9" i="13" s="1"/>
  <c r="J8" i="13"/>
  <c r="I8" i="13"/>
  <c r="I5" i="13"/>
  <c r="H4" i="13"/>
  <c r="K4" i="13" s="1"/>
  <c r="I5" i="12"/>
  <c r="J5" i="12" s="1"/>
  <c r="I7" i="12"/>
  <c r="J7" i="12" s="1"/>
  <c r="I6" i="12"/>
  <c r="J6" i="12" s="1"/>
  <c r="K8" i="12"/>
  <c r="K10" i="12"/>
  <c r="K13" i="12"/>
  <c r="K12" i="12"/>
  <c r="K11" i="12"/>
  <c r="K9" i="12"/>
  <c r="J4" i="13"/>
  <c r="K15" i="30" l="1"/>
  <c r="K14" i="30"/>
  <c r="K13" i="30"/>
  <c r="K16" i="30"/>
  <c r="J15" i="30"/>
  <c r="J14" i="30"/>
  <c r="J13" i="30"/>
  <c r="J16" i="30"/>
  <c r="K13" i="28"/>
  <c r="J17" i="28"/>
  <c r="J16" i="28"/>
  <c r="J15" i="28"/>
  <c r="J14" i="28"/>
  <c r="K7" i="28"/>
  <c r="I13" i="17"/>
  <c r="I12" i="17"/>
  <c r="I10" i="17"/>
  <c r="I14" i="17"/>
  <c r="I11" i="17"/>
  <c r="K5" i="13"/>
  <c r="K8" i="13"/>
  <c r="H4" i="12"/>
  <c r="E4" i="11"/>
  <c r="E5" i="11"/>
  <c r="D4" i="11"/>
  <c r="D5" i="11"/>
  <c r="H8" i="10"/>
  <c r="H9" i="10"/>
  <c r="H10" i="10"/>
  <c r="H11" i="10"/>
  <c r="H12" i="10"/>
  <c r="H13" i="10"/>
  <c r="H14" i="10"/>
  <c r="H15" i="10"/>
  <c r="H16" i="10"/>
  <c r="H7" i="10"/>
  <c r="D8" i="10"/>
  <c r="E8" i="10"/>
  <c r="F8" i="10"/>
  <c r="D9" i="10"/>
  <c r="E9" i="10"/>
  <c r="F9" i="10"/>
  <c r="D10" i="10"/>
  <c r="E10" i="10"/>
  <c r="F10" i="10"/>
  <c r="D11" i="10"/>
  <c r="E11" i="10"/>
  <c r="F11" i="10"/>
  <c r="D12" i="10"/>
  <c r="E12" i="10"/>
  <c r="F12" i="10"/>
  <c r="D13" i="10"/>
  <c r="E13" i="10"/>
  <c r="F13" i="10"/>
  <c r="D14" i="10"/>
  <c r="E14" i="10"/>
  <c r="F14" i="10"/>
  <c r="D15" i="10"/>
  <c r="E15" i="10"/>
  <c r="F15" i="10"/>
  <c r="D16" i="10"/>
  <c r="E16" i="10"/>
  <c r="F16" i="10"/>
  <c r="F7" i="10"/>
  <c r="E7" i="10"/>
  <c r="D7" i="10"/>
  <c r="D11" i="9"/>
  <c r="D10" i="9"/>
  <c r="D9" i="9"/>
  <c r="D12" i="9"/>
  <c r="D8" i="9"/>
  <c r="D7" i="9"/>
  <c r="J13" i="8"/>
  <c r="J12" i="8"/>
  <c r="J8" i="8"/>
  <c r="J14" i="8" s="1"/>
  <c r="J9" i="8"/>
  <c r="J10" i="8"/>
  <c r="J6" i="8"/>
  <c r="I8" i="8"/>
  <c r="I9" i="8"/>
  <c r="I10" i="8"/>
  <c r="I6" i="8"/>
  <c r="H8" i="8"/>
  <c r="H9" i="8"/>
  <c r="H10" i="8"/>
  <c r="H6" i="8"/>
  <c r="G8" i="8"/>
  <c r="G9" i="8"/>
  <c r="G10" i="8"/>
  <c r="G6" i="8"/>
  <c r="F8" i="8"/>
  <c r="F9" i="8"/>
  <c r="F10" i="8"/>
  <c r="F6" i="8"/>
  <c r="E8" i="8"/>
  <c r="E9" i="8"/>
  <c r="E10" i="8"/>
  <c r="E6" i="8"/>
  <c r="D8" i="8"/>
  <c r="D9" i="8"/>
  <c r="D10" i="8"/>
  <c r="D6" i="8"/>
  <c r="C7" i="8"/>
  <c r="E7" i="8" s="1"/>
  <c r="C8" i="8"/>
  <c r="C9" i="8"/>
  <c r="C10" i="8"/>
  <c r="C6" i="8"/>
  <c r="E4" i="6"/>
  <c r="E5" i="6"/>
  <c r="E6" i="6"/>
  <c r="E7" i="6"/>
  <c r="E8" i="6"/>
  <c r="E3" i="6"/>
  <c r="G5" i="5"/>
  <c r="G6" i="5"/>
  <c r="G7" i="5"/>
  <c r="G8" i="5"/>
  <c r="J8" i="5" s="1"/>
  <c r="G4" i="5"/>
  <c r="J4" i="5" s="1"/>
  <c r="F5" i="5"/>
  <c r="F6" i="5"/>
  <c r="J6" i="5" s="1"/>
  <c r="F7" i="5"/>
  <c r="J7" i="5" s="1"/>
  <c r="F8" i="5"/>
  <c r="F4" i="5"/>
  <c r="B10" i="4"/>
  <c r="B9" i="4"/>
  <c r="B8" i="4"/>
  <c r="B7" i="4"/>
  <c r="B6" i="4"/>
  <c r="G9" i="3"/>
  <c r="G10" i="3"/>
  <c r="G11" i="3"/>
  <c r="H11" i="3" s="1"/>
  <c r="G12" i="3"/>
  <c r="H12" i="3" s="1"/>
  <c r="G13" i="3"/>
  <c r="H13" i="3" s="1"/>
  <c r="G14" i="3"/>
  <c r="G15" i="3"/>
  <c r="H15" i="3" s="1"/>
  <c r="G16" i="3"/>
  <c r="H16" i="3" s="1"/>
  <c r="G17" i="3"/>
  <c r="G8" i="3"/>
  <c r="K14" i="28" l="1"/>
  <c r="K17" i="28"/>
  <c r="K16" i="28"/>
  <c r="K15" i="28"/>
  <c r="K4" i="12"/>
  <c r="I4" i="12"/>
  <c r="J4" i="12" s="1"/>
  <c r="H7" i="8"/>
  <c r="F7" i="8"/>
  <c r="D7" i="8"/>
  <c r="I7" i="8"/>
  <c r="G7" i="8"/>
  <c r="J5" i="5"/>
  <c r="J13" i="5"/>
  <c r="J9" i="5"/>
  <c r="J12" i="5"/>
  <c r="J10" i="5"/>
  <c r="J11" i="5"/>
  <c r="H17" i="3"/>
  <c r="I17" i="3" s="1"/>
  <c r="I13" i="3"/>
  <c r="H9" i="3"/>
  <c r="I9" i="3" s="1"/>
  <c r="I15" i="3"/>
  <c r="H8" i="3"/>
  <c r="I8" i="3" s="1"/>
  <c r="H14" i="3"/>
  <c r="I14" i="3" s="1"/>
  <c r="H10" i="3"/>
  <c r="I10" i="3" s="1"/>
  <c r="I16" i="3"/>
  <c r="I12" i="3"/>
  <c r="I11" i="3"/>
  <c r="J7" i="8" l="1"/>
  <c r="J11" i="8" s="1"/>
</calcChain>
</file>

<file path=xl/sharedStrings.xml><?xml version="1.0" encoding="utf-8"?>
<sst xmlns="http://schemas.openxmlformats.org/spreadsheetml/2006/main" count="613" uniqueCount="429">
  <si>
    <t>NO</t>
  </si>
  <si>
    <t>NIM</t>
  </si>
  <si>
    <t>NAMA MAHASISWA</t>
  </si>
  <si>
    <t>JENIS KELAMIN</t>
  </si>
  <si>
    <t>ALAMAT</t>
  </si>
  <si>
    <t>NO HP</t>
  </si>
  <si>
    <t>PROGRAM STUDI</t>
  </si>
  <si>
    <t>LAKI-LAKI</t>
  </si>
  <si>
    <t>PEREMPUAN</t>
  </si>
  <si>
    <t>BISNIS ADMINISTRASI</t>
  </si>
  <si>
    <t>MANAJEMEN INFORMATIKA</t>
  </si>
  <si>
    <t>KOMPUTERISASI AKUNTANSI</t>
  </si>
  <si>
    <t>HUBUNGAN MASYARAKAT</t>
  </si>
  <si>
    <t>DATA MAHASISWA POLITEKNIK LP3I PEKANBARU</t>
  </si>
  <si>
    <t>ADMINISTRASI BISNIS</t>
  </si>
  <si>
    <t>SEMESTER GENAP (2026)</t>
  </si>
  <si>
    <t>JL TAMAN SARI NO.11 TANGKERANG SELATAN PEKANBARU-RIAU</t>
  </si>
  <si>
    <t>JL. TAMAN SARI NO.11 TANGKERANG SELATAN PEKANBARU-RIAU</t>
  </si>
  <si>
    <t xml:space="preserve">NAMA BARANG </t>
  </si>
  <si>
    <t>MEREK</t>
  </si>
  <si>
    <t>HARGA SATUAN</t>
  </si>
  <si>
    <t>BANYAK BARANG</t>
  </si>
  <si>
    <t>SATUAN</t>
  </si>
  <si>
    <t>HARGA KOTOR</t>
  </si>
  <si>
    <t>POTONGAN</t>
  </si>
  <si>
    <t>HARGA BERSIH</t>
  </si>
  <si>
    <t>Sarden</t>
  </si>
  <si>
    <t>Minyak goreng</t>
  </si>
  <si>
    <t>Mentega</t>
  </si>
  <si>
    <t>Rokok</t>
  </si>
  <si>
    <t>Kopi</t>
  </si>
  <si>
    <t>The celup</t>
  </si>
  <si>
    <t>Sirup</t>
  </si>
  <si>
    <t>Tepung Terigu</t>
  </si>
  <si>
    <t xml:space="preserve">Kornet </t>
  </si>
  <si>
    <t>Deterjen</t>
  </si>
  <si>
    <t>Rinso</t>
  </si>
  <si>
    <t>Macarra</t>
  </si>
  <si>
    <t>Segitiga Biru</t>
  </si>
  <si>
    <t>ABC</t>
  </si>
  <si>
    <t>Sosro</t>
  </si>
  <si>
    <t>Tora Bika</t>
  </si>
  <si>
    <t>L.A Light</t>
  </si>
  <si>
    <t>Blueband</t>
  </si>
  <si>
    <t>Sendok</t>
  </si>
  <si>
    <t>Kaleng</t>
  </si>
  <si>
    <t>Kg</t>
  </si>
  <si>
    <t>Bungkus</t>
  </si>
  <si>
    <t>Botol</t>
  </si>
  <si>
    <t>WASERDA "RUMPUN SELASIH"</t>
  </si>
  <si>
    <t>JL. DAMNAH KOTA LEGENDA NO 17 PEKANBARU</t>
  </si>
  <si>
    <t>Daftar Pengambilan Barang</t>
  </si>
  <si>
    <t>Bulan Juni 2019</t>
  </si>
  <si>
    <t>Data yang diinput adalah: Nama Barang, Merk, Harga Satuan, Banyak Barang, Satuan</t>
  </si>
  <si>
    <t>Ketentuan data yang akan diproses:</t>
  </si>
  <si>
    <t>1. Harga kotor</t>
  </si>
  <si>
    <t>Harga Satuan * Banyak barang</t>
  </si>
  <si>
    <t>2. Potongan</t>
  </si>
  <si>
    <t>5% * Harga kotor</t>
  </si>
  <si>
    <t>3. Harga Bersih</t>
  </si>
  <si>
    <t>Harga Kotor - Potongan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</si>
  <si>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</si>
  <si>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</si>
  <si>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>NILAI TEERTINGGI</t>
  </si>
  <si>
    <t>NILAI TERENDAH</t>
  </si>
  <si>
    <t>JUMLAH RATA-RATA</t>
  </si>
  <si>
    <t>JUMLAH DATA</t>
  </si>
  <si>
    <t>NAMA KARYAWAN</t>
  </si>
  <si>
    <t>JABATAN</t>
  </si>
  <si>
    <t>JUMLAH ANAK</t>
  </si>
  <si>
    <t>GAJI POKOK</t>
  </si>
  <si>
    <t>TUNJANGAN ANAK</t>
  </si>
  <si>
    <t>TUNJANGAN ISTRI</t>
  </si>
  <si>
    <t>TUNJANGAN JABATAN</t>
  </si>
  <si>
    <t>ASTEK</t>
  </si>
  <si>
    <t>TOTAL GAJI</t>
  </si>
  <si>
    <t>Arman</t>
  </si>
  <si>
    <t>Dania</t>
  </si>
  <si>
    <t>Sinta</t>
  </si>
  <si>
    <t>Boby</t>
  </si>
  <si>
    <t>Katya</t>
  </si>
  <si>
    <t>Staff</t>
  </si>
  <si>
    <t>Manajer</t>
  </si>
  <si>
    <t>Direktur</t>
  </si>
  <si>
    <t>Total</t>
  </si>
  <si>
    <t>Jumlah Tertinggi</t>
  </si>
  <si>
    <t>Jumlah Terendah</t>
  </si>
  <si>
    <t>Rata-rata</t>
  </si>
  <si>
    <t>Jumlah Data</t>
  </si>
  <si>
    <t>Honor:</t>
  </si>
  <si>
    <t>No</t>
  </si>
  <si>
    <t>Nama</t>
  </si>
  <si>
    <t>Jumlah Mengawas</t>
  </si>
  <si>
    <t>Dibayarkan</t>
  </si>
  <si>
    <t>ibob</t>
  </si>
  <si>
    <t>iboy</t>
  </si>
  <si>
    <t>Sunny</t>
  </si>
  <si>
    <t>Karya</t>
  </si>
  <si>
    <t>Catherine</t>
  </si>
  <si>
    <t>Cecilia</t>
  </si>
  <si>
    <t>Presentase Uang Muka :</t>
  </si>
  <si>
    <t>TYPE KENDARAAN</t>
  </si>
  <si>
    <t>HARGA JUAL</t>
  </si>
  <si>
    <t>UANG MUKA</t>
  </si>
  <si>
    <t>PRESENTASE ANGSURAAN KREDIT PERBULAN</t>
  </si>
  <si>
    <t>BULAN 1</t>
  </si>
  <si>
    <t>BULAN II</t>
  </si>
  <si>
    <t>BULAN III</t>
  </si>
  <si>
    <t>BULAN VI</t>
  </si>
  <si>
    <t>BULAN V</t>
  </si>
  <si>
    <t>BULAN IV</t>
  </si>
  <si>
    <t>TOTAL ANGSURAN</t>
  </si>
  <si>
    <t>Honda Beat</t>
  </si>
  <si>
    <t>Honda Vario 125</t>
  </si>
  <si>
    <t>Honda Vario 150</t>
  </si>
  <si>
    <t>Honda ADV 150</t>
  </si>
  <si>
    <t>Honda PCX</t>
  </si>
  <si>
    <t>Jumlah Total Angsuran</t>
  </si>
  <si>
    <t>Total Angsuran Terendah</t>
  </si>
  <si>
    <t>Total Angsuran Tertinggi</t>
  </si>
  <si>
    <t>Rata-rata Total Angsuran</t>
  </si>
  <si>
    <t>PEKANBARU KOTA BERTUAH</t>
  </si>
  <si>
    <t>KARAKTER YANG DIBACA</t>
  </si>
  <si>
    <t>KARAKTER YANG INGIN DIBACA</t>
  </si>
  <si>
    <t>HASIL</t>
  </si>
  <si>
    <t>PENULIS RUMUS</t>
  </si>
  <si>
    <t>PEKAN</t>
  </si>
  <si>
    <t>BARU</t>
  </si>
  <si>
    <t>PEKANBARU</t>
  </si>
  <si>
    <t>KOTA</t>
  </si>
  <si>
    <t>KOTA BERTUAH</t>
  </si>
  <si>
    <t>BERTUAH</t>
  </si>
  <si>
    <t>DAFTAR PESERTA</t>
  </si>
  <si>
    <t>KELUARGA BERENCANA (KB) MANDIRI</t>
  </si>
  <si>
    <t>KODE PESERTA</t>
  </si>
  <si>
    <t>NAMA</t>
  </si>
  <si>
    <t>UMUR</t>
  </si>
  <si>
    <t>PESERTA</t>
  </si>
  <si>
    <t>J. KELAMIN</t>
  </si>
  <si>
    <t>ALAT KONTRAPSI</t>
  </si>
  <si>
    <t>AWAL KB</t>
  </si>
  <si>
    <t>LAMA KB</t>
  </si>
  <si>
    <t>LK-23-KDM</t>
  </si>
  <si>
    <t>PR-30-IUD</t>
  </si>
  <si>
    <t>PR-27-PIL</t>
  </si>
  <si>
    <t>LK-23-MOW</t>
  </si>
  <si>
    <t>PR-29-IUD</t>
  </si>
  <si>
    <t>PR-25-STK</t>
  </si>
  <si>
    <t>PR-19-SSK</t>
  </si>
  <si>
    <t>LK-26-KDM</t>
  </si>
  <si>
    <t>LK-42-MOW</t>
  </si>
  <si>
    <t>PR-28-PIL</t>
  </si>
  <si>
    <t>INDRA</t>
  </si>
  <si>
    <t>ADINA</t>
  </si>
  <si>
    <t>SARASWATI</t>
  </si>
  <si>
    <t>JEFRI</t>
  </si>
  <si>
    <t>MARITA</t>
  </si>
  <si>
    <t>LUCY</t>
  </si>
  <si>
    <t>NANA</t>
  </si>
  <si>
    <t>OSDIE</t>
  </si>
  <si>
    <t>SITI</t>
  </si>
  <si>
    <t>ELI</t>
  </si>
  <si>
    <t>B</t>
  </si>
  <si>
    <t>C</t>
  </si>
  <si>
    <t>Kode</t>
  </si>
  <si>
    <t>Judul Buku</t>
  </si>
  <si>
    <t>Pengarang</t>
  </si>
  <si>
    <t>D</t>
  </si>
  <si>
    <t>E</t>
  </si>
  <si>
    <t>AA</t>
  </si>
  <si>
    <t>AB</t>
  </si>
  <si>
    <t>Jika kode buku AA maka Judul Buku adalah Databse</t>
  </si>
  <si>
    <t>Jika kode buku AB maka Judul Buku adalah Miscrosoft Excel</t>
  </si>
  <si>
    <t>Jika Judul Buku adalah Database maka Pengarang adalah Yogiyanto</t>
  </si>
  <si>
    <t>Jika Judul Buku adalah Miscrosoft Excel maka Pengarang adalah Nala Hayati</t>
  </si>
  <si>
    <t>HASIL UJIAN</t>
  </si>
  <si>
    <t>WIND</t>
  </si>
  <si>
    <t>WORD</t>
  </si>
  <si>
    <t>EXCEL</t>
  </si>
  <si>
    <t>ACC</t>
  </si>
  <si>
    <t>NILAI</t>
  </si>
  <si>
    <t>RATA-RATA</t>
  </si>
  <si>
    <t>HURUF</t>
  </si>
  <si>
    <t>PREDIKAT</t>
  </si>
  <si>
    <t>KETERANGAN</t>
  </si>
  <si>
    <t>Dina</t>
  </si>
  <si>
    <t>Nina</t>
  </si>
  <si>
    <t>Niomo</t>
  </si>
  <si>
    <t>Nur</t>
  </si>
  <si>
    <t>Tutut</t>
  </si>
  <si>
    <t>Fika</t>
  </si>
  <si>
    <t>Sri</t>
  </si>
  <si>
    <t>Wili</t>
  </si>
  <si>
    <t>Rina</t>
  </si>
  <si>
    <t>Putri</t>
  </si>
  <si>
    <t xml:space="preserve">NO </t>
  </si>
  <si>
    <t xml:space="preserve">NAMA </t>
  </si>
  <si>
    <t>GOL</t>
  </si>
  <si>
    <t>GAJI</t>
  </si>
  <si>
    <t>GAPOK</t>
  </si>
  <si>
    <t>TUNJ</t>
  </si>
  <si>
    <t>TRANS</t>
  </si>
  <si>
    <t>PENGELUARAN</t>
  </si>
  <si>
    <t>PAJAK</t>
  </si>
  <si>
    <t>GAJI BERSIH</t>
  </si>
  <si>
    <t>SUNNY</t>
  </si>
  <si>
    <t>KATYA</t>
  </si>
  <si>
    <t>IBOB</t>
  </si>
  <si>
    <t>CECILIA</t>
  </si>
  <si>
    <t>CHATRINE</t>
  </si>
  <si>
    <t>MEI MEI</t>
  </si>
  <si>
    <t>BOBOY BOY</t>
  </si>
  <si>
    <t>A1</t>
  </si>
  <si>
    <t>A3</t>
  </si>
  <si>
    <t>A2</t>
  </si>
  <si>
    <t>AND</t>
  </si>
  <si>
    <t>ABSEN</t>
  </si>
  <si>
    <t>BIAYA KULIAH</t>
  </si>
  <si>
    <t>FULL</t>
  </si>
  <si>
    <t>TIDAK FULL</t>
  </si>
  <si>
    <t>TIDAK LUNAS</t>
  </si>
  <si>
    <t>OR</t>
  </si>
  <si>
    <t>MENUNGGAK</t>
  </si>
  <si>
    <t>MENUGGAK</t>
  </si>
  <si>
    <r>
      <t xml:space="preserve">MAHASISWA BISA MENGIKUTI UJIAN JIKA ASBEN FULL </t>
    </r>
    <r>
      <rPr>
        <sz val="11"/>
        <color rgb="FFFF0000"/>
        <rFont val="Calibri"/>
        <family val="2"/>
        <scheme val="minor"/>
      </rPr>
      <t>DAN</t>
    </r>
    <r>
      <rPr>
        <sz val="11"/>
        <color theme="1"/>
        <rFont val="Calibri"/>
        <family val="2"/>
        <charset val="1"/>
        <scheme val="minor"/>
      </rPr>
      <t xml:space="preserve"> SUDAH MELUNASI BIAYA KULIAH, SELAIN ITU TIDAK BOLEH MENGIKUTI UJIAN</t>
    </r>
  </si>
  <si>
    <t>LUNAS</t>
  </si>
  <si>
    <t>KODE LAMARAN</t>
  </si>
  <si>
    <t>NAMA PELAMAR</t>
  </si>
  <si>
    <t>UMUR(TH)</t>
  </si>
  <si>
    <t>PENDIDIKAN TERAKHIR</t>
  </si>
  <si>
    <t>ATTITUDE</t>
  </si>
  <si>
    <t>PSYCHO</t>
  </si>
  <si>
    <t>HASIL TEST</t>
  </si>
  <si>
    <t>AC</t>
  </si>
  <si>
    <t>AD</t>
  </si>
  <si>
    <t>AE</t>
  </si>
  <si>
    <t>SINGGIH ARSANTI</t>
  </si>
  <si>
    <t>BOMA SALIGATING</t>
  </si>
  <si>
    <t>EKO PRASETYO</t>
  </si>
  <si>
    <t>TAMARA MILVISKY</t>
  </si>
  <si>
    <t>ENDAH SARASWATI</t>
  </si>
  <si>
    <t>NIA MELVINA</t>
  </si>
  <si>
    <t>THEO BRAMANTORO</t>
  </si>
  <si>
    <t>KAENAN BRAWIJAYA</t>
  </si>
  <si>
    <t>DENOK KEMALA</t>
  </si>
  <si>
    <t>TUMINEM ATMOWILOTO</t>
  </si>
  <si>
    <t>KODE</t>
  </si>
  <si>
    <t>JUDUL BUKU</t>
  </si>
  <si>
    <t>HARGA BUKU</t>
  </si>
  <si>
    <t>AA-01</t>
  </si>
  <si>
    <t>AB-02</t>
  </si>
  <si>
    <t>AC-01</t>
  </si>
  <si>
    <t>NEGARA ASAL</t>
  </si>
  <si>
    <t>BAHAN BAKAR</t>
  </si>
  <si>
    <t>JUDUL CD</t>
  </si>
  <si>
    <t>JENIS CD</t>
  </si>
  <si>
    <t>HARGA</t>
  </si>
  <si>
    <t>JUMLAH BELI</t>
  </si>
  <si>
    <t>DISCOUNT</t>
  </si>
  <si>
    <t>TOTAL BELI</t>
  </si>
  <si>
    <t>CD-AD-001</t>
  </si>
  <si>
    <t>CD-AC-001</t>
  </si>
  <si>
    <t>CD-CM-002</t>
  </si>
  <si>
    <t>CD-DR-003</t>
  </si>
  <si>
    <t>Rata-Rata</t>
  </si>
  <si>
    <t>LAPORAN INVENTARISASI KENDARAAN OPERASIONAL</t>
  </si>
  <si>
    <t>PT. TIDAK MAU MUNDUR SELALU MAJU</t>
  </si>
  <si>
    <t>TF-SL-02</t>
  </si>
  <si>
    <t>KODE PENJUALAN</t>
  </si>
  <si>
    <t>KODE FAKTUR</t>
  </si>
  <si>
    <t>NAMA KENDARAAN</t>
  </si>
  <si>
    <t>HARGA BELI</t>
  </si>
  <si>
    <t>BANYAK BELI</t>
  </si>
  <si>
    <t>INVESTARIS</t>
  </si>
  <si>
    <t>LAMA PEMAKAIAN</t>
  </si>
  <si>
    <t>LC-BS-01</t>
  </si>
  <si>
    <t>MC-SL-03</t>
  </si>
  <si>
    <t>VW-BS-09</t>
  </si>
  <si>
    <t>TAHUN</t>
  </si>
  <si>
    <t>TABEL NEGARA &amp; HARGA BELI</t>
  </si>
  <si>
    <t>NEGARA</t>
  </si>
  <si>
    <t>HARAG BELI</t>
  </si>
  <si>
    <t>JEPANG</t>
  </si>
  <si>
    <t>INNGGRIS</t>
  </si>
  <si>
    <t>AMERIKA</t>
  </si>
  <si>
    <t>JERMAN</t>
  </si>
  <si>
    <t xml:space="preserve">KODE </t>
  </si>
  <si>
    <t>JUMMLAH BELI</t>
  </si>
  <si>
    <t>DATABASE</t>
  </si>
  <si>
    <t>SQL SERVER</t>
  </si>
  <si>
    <t>MICROSOFT EXCEL</t>
  </si>
  <si>
    <t>REKAPITULASI GAJI</t>
  </si>
  <si>
    <t>BULAN : JULI 2018</t>
  </si>
  <si>
    <t>NIP</t>
  </si>
  <si>
    <t>GAJI-GAJI</t>
  </si>
  <si>
    <t>POTONGAN-POTONGAN</t>
  </si>
  <si>
    <t>TOTAL POTONGAN</t>
  </si>
  <si>
    <t>TUNJ. JABATAN</t>
  </si>
  <si>
    <t>TUNJ. KELUARGA</t>
  </si>
  <si>
    <t>KASBON</t>
  </si>
  <si>
    <t>A</t>
  </si>
  <si>
    <t>Tabel Gaji Pokok</t>
  </si>
  <si>
    <t>Table Karyawan</t>
  </si>
  <si>
    <t>Gol</t>
  </si>
  <si>
    <t>Gaji Pokok</t>
  </si>
  <si>
    <t>Status Pernikahan</t>
  </si>
  <si>
    <t>Septa</t>
  </si>
  <si>
    <t>Nikah</t>
  </si>
  <si>
    <t>Adi</t>
  </si>
  <si>
    <t>Tidak Nikah</t>
  </si>
  <si>
    <t>Hikmatiar</t>
  </si>
  <si>
    <t>Jaja Miharja</t>
  </si>
  <si>
    <t>Karimun</t>
  </si>
  <si>
    <t>Samirin</t>
  </si>
  <si>
    <t>Iye Indriastuti</t>
  </si>
  <si>
    <t>Perintah :</t>
  </si>
  <si>
    <t>1. Nama Pegawai, diisi berdasarkan tabel Karyawan</t>
  </si>
  <si>
    <t>2. Gaji Pokok diisi berdasarkan tabel Gaji Pokok</t>
  </si>
  <si>
    <t>3. Tunjangan Jabatan diisi jika Gol = A Rp. 200,000,-, Jika Gol = 2 Rp. 225,000,- dan Jika Gol C Rp. 330,000,-</t>
  </si>
  <si>
    <t>4. Tunjangan Keluarga diisi berdasarkan Tabel Karyawan, Jika status Nikah Rp. 75,000,- Jika Tidak Nikah Rp. 0,-</t>
  </si>
  <si>
    <t>5. Pajak diisi dengan 5% dari Gaji Pokok</t>
  </si>
  <si>
    <t>6. Astek diisi dengan 2.5% dari Gaji Pokok</t>
  </si>
  <si>
    <t>7. Total Potongan diisi dengan Pajak + Astek + Kasbon</t>
  </si>
  <si>
    <t>8. Gaji Bersih diisi dengan Gaji Kotor - Total Potongan</t>
  </si>
  <si>
    <t>BUAH</t>
  </si>
  <si>
    <t>ASAL</t>
  </si>
  <si>
    <t>AB-MA</t>
  </si>
  <si>
    <t>AC-SI</t>
  </si>
  <si>
    <t>AD-MA</t>
  </si>
  <si>
    <t>TABEL BUAH</t>
  </si>
  <si>
    <t>MANGGA</t>
  </si>
  <si>
    <t>SALAK</t>
  </si>
  <si>
    <t>LEMON</t>
  </si>
  <si>
    <t>TABEL ASAL</t>
  </si>
  <si>
    <t>MA</t>
  </si>
  <si>
    <t>SI</t>
  </si>
  <si>
    <t>SIBOLGA</t>
  </si>
  <si>
    <t>MALANG</t>
  </si>
  <si>
    <t>DAFTAR PENJUALAN BARANG</t>
  </si>
  <si>
    <t>JTH TEMPOH:</t>
  </si>
  <si>
    <t>NO URUT</t>
  </si>
  <si>
    <t>KODE BARANG</t>
  </si>
  <si>
    <t>NAMA BARANG</t>
  </si>
  <si>
    <t>TYPE BARANG</t>
  </si>
  <si>
    <t>JUMLAH BARANG</t>
  </si>
  <si>
    <t>TGL PESAN</t>
  </si>
  <si>
    <t>JATUH TEMPOH</t>
  </si>
  <si>
    <t>TGL BAYAR</t>
  </si>
  <si>
    <t>DENDA</t>
  </si>
  <si>
    <t>TOTAL BAYAR</t>
  </si>
  <si>
    <t>B3</t>
  </si>
  <si>
    <t>C1</t>
  </si>
  <si>
    <t>B2</t>
  </si>
  <si>
    <t>C2</t>
  </si>
  <si>
    <t>C3</t>
  </si>
  <si>
    <t>SOAL:</t>
  </si>
  <si>
    <t>1. Nama Barang, Harga Satuan dan Satuan diisi berdasarkan pada sheet 1, berdasarkan kode barang</t>
  </si>
  <si>
    <t>2. Type Barang, diisi berdasarkan tabel yang ada disheet2, berdasarkan type barang</t>
  </si>
  <si>
    <t>3. Jatuh tempoh 7 hari dari tanggal pemesanan barang</t>
  </si>
  <si>
    <t>4. Discount diberikan 10% dari Jumlah Barang x Harga Satuan, Jika Tgl Bayar sama dengan Tgl Pesan</t>
  </si>
  <si>
    <t>5. Denda diberikan 2 % dari jumlah Barang x Harga Satuan, jika tgl Bayar lebih besar dari Tgl Jatuh Tempoh</t>
  </si>
  <si>
    <t>6. Total Bayar diisi dengan jumlah barang x harga satuan - discount + denda</t>
  </si>
  <si>
    <t>JUMLAH TERTINGGI</t>
  </si>
  <si>
    <t>JUMLAH TERENDAH</t>
  </si>
  <si>
    <t>LOKAL</t>
  </si>
  <si>
    <t>LUAR</t>
  </si>
  <si>
    <t>BLANK</t>
  </si>
  <si>
    <t>KEYBOARD</t>
  </si>
  <si>
    <t>MOUSE</t>
  </si>
  <si>
    <t>STABILIZER</t>
  </si>
  <si>
    <t>TABLE TYPE BARANG</t>
  </si>
  <si>
    <t>KODE TYPE</t>
  </si>
  <si>
    <t>1</t>
  </si>
  <si>
    <t>2</t>
  </si>
  <si>
    <t>3</t>
  </si>
  <si>
    <t>TABEL NAMA DAN HARGA BARANG</t>
  </si>
  <si>
    <t>HARGA BARANG</t>
  </si>
  <si>
    <t>REKAPITULASI PENJUALAN TIKET PESAWAT</t>
  </si>
  <si>
    <t>TANGGAL 13 APRIL</t>
  </si>
  <si>
    <t xml:space="preserve">TANGGAL 13 APRIL </t>
  </si>
  <si>
    <t>KODE TIKET</t>
  </si>
  <si>
    <t>RUTE</t>
  </si>
  <si>
    <t>TARIF</t>
  </si>
  <si>
    <t>JAM KEBERANGKATAN</t>
  </si>
  <si>
    <t>TANGGAL BELI</t>
  </si>
  <si>
    <t>JUMLAH PESAN</t>
  </si>
  <si>
    <t>DISKON</t>
  </si>
  <si>
    <t>T-001-07.00</t>
  </si>
  <si>
    <t>T-002-07.00</t>
  </si>
  <si>
    <t>T-003-07.00</t>
  </si>
  <si>
    <t>T-004-10.45</t>
  </si>
  <si>
    <t>T-005-10.45</t>
  </si>
  <si>
    <t>TOTAL PEMBELIAN</t>
  </si>
  <si>
    <t>PEMBELIAN TERTINGGI</t>
  </si>
  <si>
    <t>PEMBELIAN TERENDAH</t>
  </si>
  <si>
    <t>RATA-RATA PEMBELIAN</t>
  </si>
  <si>
    <t>T-001</t>
  </si>
  <si>
    <t>T-002</t>
  </si>
  <si>
    <t>T-003</t>
  </si>
  <si>
    <t>T-004</t>
  </si>
  <si>
    <t>T-005</t>
  </si>
  <si>
    <t>JAKARTA-MEDAN</t>
  </si>
  <si>
    <t>JAKARTA-LOMBOK</t>
  </si>
  <si>
    <t>JAKARTA-MAKASSAR</t>
  </si>
  <si>
    <t>JAKARTA-PADANG</t>
  </si>
  <si>
    <t>JAKARTA-SEMARANG</t>
  </si>
  <si>
    <t>REKAPITULASI TIKET KERTA API</t>
  </si>
  <si>
    <t xml:space="preserve">NAMA KERETA API </t>
  </si>
  <si>
    <t>REALSI (PP)</t>
  </si>
  <si>
    <t>KELASS</t>
  </si>
  <si>
    <t>KA-ES-01</t>
  </si>
  <si>
    <t>KA-ES-02</t>
  </si>
  <si>
    <t>KA-EK-03</t>
  </si>
  <si>
    <t>KA-ES-04</t>
  </si>
  <si>
    <t>KA-EB-05</t>
  </si>
  <si>
    <t>NAMA KERETA API</t>
  </si>
  <si>
    <t>RELASI (PP)</t>
  </si>
  <si>
    <t>ARGO BROMO ANGGREK</t>
  </si>
  <si>
    <t>PURWOJAYA</t>
  </si>
  <si>
    <t>COREBON EKSPRESS</t>
  </si>
  <si>
    <t>TEGAL BAHARI</t>
  </si>
  <si>
    <t>GUMARANG</t>
  </si>
  <si>
    <t>GAMBIR-SURABAYA TURI</t>
  </si>
  <si>
    <t>GAMBIR-CILACAP</t>
  </si>
  <si>
    <t>GAMBIR-CIREBON</t>
  </si>
  <si>
    <t>GAMBIR-TEGAL</t>
  </si>
  <si>
    <t>PASAR SENEN-SURABAYA PSR TURI</t>
  </si>
  <si>
    <t>Discount</t>
  </si>
  <si>
    <t>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</si>
</sst>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-&quot;Rp&quot;* #,##0.00_-;\-&quot;Rp&quot;* #,##0.00_-;_-&quot;Rp&quot;* &quot;-&quot;??_-;_-@_-"/>
    <numFmt numFmtId="165" formatCode="&quot;Rp&quot;#,##0"/>
    <numFmt numFmtId="166" formatCode="[$-F800]dddd\,\ mmmm\ dd\,\ yyyy"/>
    <numFmt numFmtId="167" formatCode="[$Rp-3809]#,##0.0"/>
    <numFmt numFmtId="168" formatCode="_-[$Rp-421]* #,##0_-;\-[$Rp-421]* #,##0_-;_-[$Rp-421]* &quot;-&quot;_-;_-@_-"/>
    <numFmt numFmtId="169" formatCode="0\ &quot;TAHUN&quot;"/>
    <numFmt numFmtId="170" formatCode="_-* #,##0_-;\-* #,##0_-;_-* &quot;-&quot;_-;_-@_-"/>
    <numFmt numFmtId="171" formatCode="[$-13809]dd/mm/yyyy;@"/>
  </numFmts>
  <fonts count="1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omic Sans MS"/>
      <family val="4"/>
    </font>
    <font>
      <b/>
      <sz val="12"/>
      <color theme="1"/>
      <name val="Comic Sans MS"/>
      <family val="4"/>
    </font>
    <font>
      <b/>
      <u/>
      <sz val="12"/>
      <color theme="1"/>
      <name val="Comic Sans MS"/>
      <family val="4"/>
    </font>
    <font>
      <sz val="8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170" fontId="3" fillId="0" borderId="0" applyFont="0" applyFill="0" applyBorder="0" applyAlignment="0" applyProtection="0"/>
  </cellStyleXfs>
  <cellXfs count="1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65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2" xfId="0" applyBorder="1"/>
    <xf numFmtId="0" fontId="1" fillId="0" borderId="1" xfId="0" applyFont="1" applyBorder="1"/>
    <xf numFmtId="165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168" fontId="0" fillId="0" borderId="1" xfId="1" applyNumberFormat="1" applyFont="1" applyBorder="1"/>
    <xf numFmtId="168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8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8" fontId="5" fillId="0" borderId="8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5" fillId="0" borderId="7" xfId="0" applyFont="1" applyBorder="1" applyAlignment="1">
      <alignment vertical="center"/>
    </xf>
    <xf numFmtId="168" fontId="5" fillId="0" borderId="7" xfId="0" applyNumberFormat="1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" fontId="0" fillId="0" borderId="1" xfId="0" applyNumberFormat="1" applyBorder="1"/>
    <xf numFmtId="168" fontId="0" fillId="0" borderId="1" xfId="1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9" fontId="0" fillId="0" borderId="0" xfId="0" applyNumberFormat="1"/>
    <xf numFmtId="0" fontId="0" fillId="4" borderId="1" xfId="0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71" fontId="9" fillId="0" borderId="1" xfId="0" applyNumberFormat="1" applyFont="1" applyBorder="1"/>
    <xf numFmtId="0" fontId="11" fillId="0" borderId="0" xfId="0" applyFont="1"/>
    <xf numFmtId="0" fontId="0" fillId="0" borderId="1" xfId="0" applyBorder="1" applyAlignment="1">
      <alignment horizontal="center" vertical="center" wrapText="1"/>
    </xf>
    <xf numFmtId="168" fontId="9" fillId="0" borderId="1" xfId="0" applyNumberFormat="1" applyFont="1" applyBorder="1"/>
    <xf numFmtId="168" fontId="9" fillId="0" borderId="1" xfId="2" applyNumberFormat="1" applyFont="1" applyBorder="1"/>
    <xf numFmtId="49" fontId="9" fillId="0" borderId="1" xfId="0" applyNumberFormat="1" applyFont="1" applyBorder="1"/>
    <xf numFmtId="14" fontId="0" fillId="0" borderId="1" xfId="0" applyNumberFormat="1" applyBorder="1"/>
    <xf numFmtId="0" fontId="0" fillId="4" borderId="1" xfId="0" applyFill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168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</cellXfs>
  <cellStyles count="3">
    <cellStyle name="Comma [0] 2" xfId="2" xr:uid="{D94EE1AB-10C0-4D38-9BBA-C1389CF3CE31}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ABB6-0204-4380-B55C-AEF43F53D7CD}">
  <dimension ref="A1:K16"/>
  <sheetViews>
    <sheetView zoomScale="54" workbookViewId="0">
      <selection activeCell="A3" sqref="A3:K3"/>
    </sheetView>
  </sheetViews>
  <sheetFormatPr defaultRowHeight="14.4" x14ac:dyDescent="0.3"/>
  <cols>
    <col min="1" max="1" width="5.44140625" customWidth="1"/>
    <col min="2" max="7" width="18.6640625" customWidth="1"/>
    <col min="8" max="11" width="17" style="4" customWidth="1"/>
  </cols>
  <sheetData>
    <row r="1" spans="1:11" ht="21" x14ac:dyDescent="0.4">
      <c r="A1" s="70" t="s">
        <v>13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1" ht="21" x14ac:dyDescent="0.4">
      <c r="A2" s="70" t="s">
        <v>15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ht="21" x14ac:dyDescent="0.4">
      <c r="A3" s="70" t="s">
        <v>17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1" ht="21" x14ac:dyDescent="0.4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s="6" customFormat="1" x14ac:dyDescent="0.3">
      <c r="A5" s="72" t="s">
        <v>0</v>
      </c>
      <c r="B5" s="72" t="s">
        <v>1</v>
      </c>
      <c r="C5" s="72" t="s">
        <v>2</v>
      </c>
      <c r="D5" s="74" t="s">
        <v>3</v>
      </c>
      <c r="E5" s="75"/>
      <c r="F5" s="72" t="s">
        <v>4</v>
      </c>
      <c r="G5" s="72" t="s">
        <v>5</v>
      </c>
      <c r="H5" s="76" t="s">
        <v>6</v>
      </c>
      <c r="I5" s="77"/>
      <c r="J5" s="77"/>
      <c r="K5" s="78"/>
    </row>
    <row r="6" spans="1:11" s="6" customFormat="1" ht="28.8" x14ac:dyDescent="0.3">
      <c r="A6" s="73"/>
      <c r="B6" s="73"/>
      <c r="C6" s="73"/>
      <c r="D6" s="7" t="s">
        <v>7</v>
      </c>
      <c r="E6" s="7" t="s">
        <v>8</v>
      </c>
      <c r="F6" s="73"/>
      <c r="G6" s="73"/>
      <c r="H6" s="8" t="s">
        <v>9</v>
      </c>
      <c r="I6" s="8" t="s">
        <v>10</v>
      </c>
      <c r="J6" s="8" t="s">
        <v>11</v>
      </c>
      <c r="K6" s="8" t="s">
        <v>12</v>
      </c>
    </row>
    <row r="7" spans="1:11" x14ac:dyDescent="0.3">
      <c r="A7" s="1">
        <v>1</v>
      </c>
      <c r="B7" s="1"/>
      <c r="C7" s="1"/>
      <c r="D7" s="1"/>
      <c r="E7" s="1"/>
      <c r="F7" s="1"/>
      <c r="G7" s="1"/>
      <c r="H7" s="3"/>
      <c r="I7" s="3"/>
      <c r="J7" s="3"/>
      <c r="K7" s="3"/>
    </row>
    <row r="8" spans="1:11" x14ac:dyDescent="0.3">
      <c r="A8" s="1">
        <v>2</v>
      </c>
      <c r="B8" s="1"/>
      <c r="C8" s="1"/>
      <c r="D8" s="1"/>
      <c r="E8" s="1"/>
      <c r="F8" s="1"/>
      <c r="G8" s="1"/>
      <c r="H8" s="3"/>
      <c r="I8" s="3"/>
      <c r="J8" s="3"/>
      <c r="K8" s="3"/>
    </row>
    <row r="9" spans="1:11" x14ac:dyDescent="0.3">
      <c r="A9" s="1">
        <v>3</v>
      </c>
      <c r="B9" s="1"/>
      <c r="C9" s="1"/>
      <c r="D9" s="1"/>
      <c r="E9" s="1"/>
      <c r="F9" s="1"/>
      <c r="G9" s="1"/>
      <c r="H9" s="3"/>
      <c r="I9" s="3"/>
      <c r="J9" s="3"/>
      <c r="K9" s="3"/>
    </row>
    <row r="10" spans="1:11" x14ac:dyDescent="0.3">
      <c r="A10" s="1">
        <v>4</v>
      </c>
      <c r="B10" s="1"/>
      <c r="C10" s="1"/>
      <c r="D10" s="1"/>
      <c r="E10" s="1"/>
      <c r="F10" s="1"/>
      <c r="G10" s="1"/>
      <c r="H10" s="3"/>
      <c r="I10" s="3"/>
      <c r="J10" s="3"/>
      <c r="K10" s="3"/>
    </row>
    <row r="11" spans="1:11" x14ac:dyDescent="0.3">
      <c r="A11" s="1">
        <v>5</v>
      </c>
      <c r="B11" s="1"/>
      <c r="C11" s="1"/>
      <c r="D11" s="1"/>
      <c r="E11" s="1"/>
      <c r="F11" s="1"/>
      <c r="G11" s="1"/>
      <c r="H11" s="3"/>
      <c r="I11" s="3"/>
      <c r="J11" s="3"/>
      <c r="K11" s="3"/>
    </row>
    <row r="12" spans="1:11" x14ac:dyDescent="0.3">
      <c r="A12" s="1">
        <v>6</v>
      </c>
      <c r="B12" s="1"/>
      <c r="C12" s="1"/>
      <c r="D12" s="1"/>
      <c r="E12" s="1"/>
      <c r="F12" s="1"/>
      <c r="G12" s="1"/>
      <c r="H12" s="3"/>
      <c r="I12" s="3"/>
      <c r="J12" s="3"/>
      <c r="K12" s="3"/>
    </row>
    <row r="13" spans="1:11" x14ac:dyDescent="0.3">
      <c r="A13" s="1">
        <v>7</v>
      </c>
      <c r="B13" s="1"/>
      <c r="C13" s="1"/>
      <c r="D13" s="1"/>
      <c r="E13" s="1"/>
      <c r="F13" s="1"/>
      <c r="G13" s="1"/>
      <c r="H13" s="3"/>
      <c r="I13" s="3"/>
      <c r="J13" s="3"/>
      <c r="K13" s="3"/>
    </row>
    <row r="14" spans="1:11" x14ac:dyDescent="0.3">
      <c r="A14" s="1">
        <v>8</v>
      </c>
      <c r="B14" s="1"/>
      <c r="C14" s="1"/>
      <c r="D14" s="1"/>
      <c r="E14" s="1"/>
      <c r="F14" s="1"/>
      <c r="G14" s="1"/>
      <c r="H14" s="3"/>
      <c r="I14" s="3"/>
      <c r="J14" s="3"/>
      <c r="K14" s="3"/>
    </row>
    <row r="15" spans="1:11" x14ac:dyDescent="0.3">
      <c r="A15" s="1">
        <v>9</v>
      </c>
      <c r="B15" s="1"/>
      <c r="C15" s="1"/>
      <c r="D15" s="1"/>
      <c r="E15" s="1"/>
      <c r="F15" s="1"/>
      <c r="G15" s="1"/>
      <c r="H15" s="3"/>
      <c r="I15" s="3"/>
      <c r="J15" s="3"/>
      <c r="K15" s="3"/>
    </row>
    <row r="16" spans="1:11" x14ac:dyDescent="0.3">
      <c r="A16" s="1">
        <v>10</v>
      </c>
      <c r="B16" s="1"/>
      <c r="C16" s="1"/>
      <c r="D16" s="1"/>
      <c r="E16" s="1"/>
      <c r="F16" s="1"/>
      <c r="G16" s="1"/>
      <c r="H16" s="3"/>
      <c r="I16" s="3"/>
      <c r="J16" s="3"/>
      <c r="K16" s="3"/>
    </row>
  </sheetData>
  <mergeCells count="11">
    <mergeCell ref="A1:K1"/>
    <mergeCell ref="A2:K2"/>
    <mergeCell ref="A3:K3"/>
    <mergeCell ref="A4:K4"/>
    <mergeCell ref="B5:B6"/>
    <mergeCell ref="A5:A6"/>
    <mergeCell ref="C5:C6"/>
    <mergeCell ref="D5:E5"/>
    <mergeCell ref="F5:F6"/>
    <mergeCell ref="H5:K5"/>
    <mergeCell ref="G5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A993-8D7C-44DF-ADF8-D797C5F6EC85}">
  <dimension ref="A1:K16"/>
  <sheetViews>
    <sheetView zoomScale="72" workbookViewId="0">
      <selection activeCell="H6" sqref="H6"/>
    </sheetView>
  </sheetViews>
  <sheetFormatPr defaultRowHeight="14.4" x14ac:dyDescent="0.3"/>
  <cols>
    <col min="1" max="1" width="5.44140625" customWidth="1"/>
    <col min="2" max="2" width="15.6640625" customWidth="1"/>
    <col min="3" max="3" width="18.6640625" bestFit="1" customWidth="1"/>
    <col min="4" max="4" width="15.6640625" customWidth="1"/>
    <col min="5" max="5" width="18.6640625" bestFit="1" customWidth="1"/>
    <col min="6" max="7" width="15.6640625" customWidth="1"/>
    <col min="8" max="11" width="21.6640625" style="4" customWidth="1"/>
  </cols>
  <sheetData>
    <row r="1" spans="1:11" ht="21" x14ac:dyDescent="0.3">
      <c r="A1" s="80" t="s">
        <v>13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ht="21" x14ac:dyDescent="0.3">
      <c r="A2" s="80" t="s">
        <v>15</v>
      </c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1" ht="21" x14ac:dyDescent="0.3">
      <c r="A3" s="80" t="s">
        <v>16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1" ht="21" x14ac:dyDescent="0.3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11" x14ac:dyDescent="0.3">
      <c r="A5" s="82" t="s">
        <v>0</v>
      </c>
      <c r="B5" s="82" t="s">
        <v>1</v>
      </c>
      <c r="C5" s="72" t="s">
        <v>2</v>
      </c>
      <c r="D5" s="82" t="s">
        <v>3</v>
      </c>
      <c r="E5" s="82"/>
      <c r="F5" s="82" t="s">
        <v>4</v>
      </c>
      <c r="G5" s="82" t="s">
        <v>5</v>
      </c>
      <c r="H5" s="79" t="s">
        <v>6</v>
      </c>
      <c r="I5" s="79"/>
      <c r="J5" s="79"/>
      <c r="K5" s="79"/>
    </row>
    <row r="6" spans="1:11" ht="28.8" x14ac:dyDescent="0.3">
      <c r="A6" s="82"/>
      <c r="B6" s="82"/>
      <c r="C6" s="73"/>
      <c r="D6" s="7" t="s">
        <v>7</v>
      </c>
      <c r="E6" s="7" t="s">
        <v>8</v>
      </c>
      <c r="F6" s="82"/>
      <c r="G6" s="82"/>
      <c r="H6" s="8" t="s">
        <v>14</v>
      </c>
      <c r="I6" s="8" t="s">
        <v>10</v>
      </c>
      <c r="J6" s="8" t="s">
        <v>12</v>
      </c>
      <c r="K6" s="8" t="s">
        <v>11</v>
      </c>
    </row>
    <row r="7" spans="1:11" x14ac:dyDescent="0.3">
      <c r="A7" s="1">
        <v>1</v>
      </c>
      <c r="B7" s="1"/>
      <c r="C7" s="1"/>
      <c r="D7" s="1"/>
      <c r="E7" s="1"/>
      <c r="F7" s="1"/>
      <c r="G7" s="1"/>
      <c r="H7" s="3"/>
      <c r="I7" s="3"/>
      <c r="J7" s="3"/>
      <c r="K7" s="3"/>
    </row>
    <row r="8" spans="1:11" x14ac:dyDescent="0.3">
      <c r="A8" s="1">
        <v>2</v>
      </c>
      <c r="B8" s="1"/>
      <c r="C8" s="1"/>
      <c r="D8" s="1"/>
      <c r="E8" s="1"/>
      <c r="F8" s="1"/>
      <c r="G8" s="1"/>
      <c r="H8" s="3"/>
      <c r="I8" s="3"/>
      <c r="J8" s="3"/>
      <c r="K8" s="3"/>
    </row>
    <row r="9" spans="1:11" x14ac:dyDescent="0.3">
      <c r="A9" s="1">
        <v>3</v>
      </c>
      <c r="B9" s="1"/>
      <c r="C9" s="1"/>
      <c r="D9" s="1"/>
      <c r="E9" s="1"/>
      <c r="F9" s="1"/>
      <c r="G9" s="1"/>
      <c r="H9" s="3"/>
      <c r="I9" s="3"/>
      <c r="J9" s="3"/>
      <c r="K9" s="3"/>
    </row>
    <row r="10" spans="1:11" x14ac:dyDescent="0.3">
      <c r="A10" s="1">
        <v>4</v>
      </c>
      <c r="B10" s="1"/>
      <c r="C10" s="1"/>
      <c r="D10" s="1"/>
      <c r="E10" s="1"/>
      <c r="F10" s="1"/>
      <c r="G10" s="1"/>
      <c r="H10" s="3"/>
      <c r="I10" s="3"/>
      <c r="J10" s="3"/>
      <c r="K10" s="3"/>
    </row>
    <row r="11" spans="1:11" x14ac:dyDescent="0.3">
      <c r="A11" s="1">
        <v>5</v>
      </c>
      <c r="B11" s="1"/>
      <c r="C11" s="1"/>
      <c r="D11" s="1"/>
      <c r="E11" s="1"/>
      <c r="F11" s="1"/>
      <c r="G11" s="1"/>
      <c r="H11" s="3"/>
      <c r="I11" s="3"/>
      <c r="J11" s="3"/>
      <c r="K11" s="3"/>
    </row>
    <row r="12" spans="1:11" x14ac:dyDescent="0.3">
      <c r="A12" s="1">
        <v>6</v>
      </c>
      <c r="B12" s="1"/>
      <c r="C12" s="1"/>
      <c r="D12" s="1"/>
      <c r="E12" s="1"/>
      <c r="F12" s="1"/>
      <c r="G12" s="1"/>
      <c r="H12" s="3"/>
      <c r="I12" s="3"/>
      <c r="J12" s="3"/>
      <c r="K12" s="3"/>
    </row>
    <row r="13" spans="1:11" x14ac:dyDescent="0.3">
      <c r="A13" s="1">
        <v>7</v>
      </c>
      <c r="B13" s="1"/>
      <c r="C13" s="1"/>
      <c r="D13" s="1"/>
      <c r="E13" s="1"/>
      <c r="F13" s="1"/>
      <c r="G13" s="1"/>
      <c r="H13" s="3"/>
      <c r="I13" s="3"/>
      <c r="J13" s="3"/>
      <c r="K13" s="3"/>
    </row>
    <row r="14" spans="1:11" x14ac:dyDescent="0.3">
      <c r="A14" s="1">
        <v>8</v>
      </c>
      <c r="B14" s="1"/>
      <c r="C14" s="1"/>
      <c r="D14" s="1"/>
      <c r="E14" s="1"/>
      <c r="F14" s="1"/>
      <c r="G14" s="1"/>
      <c r="H14" s="3"/>
      <c r="I14" s="3"/>
      <c r="J14" s="3"/>
      <c r="K14" s="3"/>
    </row>
    <row r="15" spans="1:11" x14ac:dyDescent="0.3">
      <c r="A15" s="1">
        <v>9</v>
      </c>
      <c r="B15" s="1"/>
      <c r="C15" s="1"/>
      <c r="D15" s="1"/>
      <c r="E15" s="1"/>
      <c r="F15" s="1"/>
      <c r="G15" s="1"/>
      <c r="H15" s="3"/>
      <c r="I15" s="3"/>
      <c r="J15" s="3"/>
      <c r="K15" s="3"/>
    </row>
    <row r="16" spans="1:11" x14ac:dyDescent="0.3">
      <c r="A16" s="1">
        <v>10</v>
      </c>
      <c r="B16" s="1"/>
      <c r="C16" s="1"/>
      <c r="D16" s="1"/>
      <c r="E16" s="1"/>
      <c r="F16" s="1"/>
      <c r="G16" s="1"/>
      <c r="H16" s="3"/>
      <c r="I16" s="3"/>
      <c r="J16" s="3"/>
      <c r="K16" s="3"/>
    </row>
  </sheetData>
  <mergeCells count="11">
    <mergeCell ref="H5:K5"/>
    <mergeCell ref="C5:C6"/>
    <mergeCell ref="A1:K1"/>
    <mergeCell ref="A2:K2"/>
    <mergeCell ref="A3:K3"/>
    <mergeCell ref="A4:K4"/>
    <mergeCell ref="A5:A6"/>
    <mergeCell ref="B5:B6"/>
    <mergeCell ref="D5:E5"/>
    <mergeCell ref="F5:F6"/>
    <mergeCell ref="G5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B720-88F4-4AB6-B26C-2E15FB25A7D6}">
  <dimension ref="A1:J23"/>
  <sheetViews>
    <sheetView workbookViewId="0">
      <selection activeCell="L7" sqref="L7"/>
    </sheetView>
  </sheetViews>
  <sheetFormatPr defaultRowHeight="14.4" x14ac:dyDescent="0.3"/>
  <cols>
    <col min="1" max="1" width="6" customWidth="1"/>
    <col min="2" max="2" width="15.6640625" style="4" customWidth="1"/>
    <col min="3" max="3" width="15.6640625" customWidth="1"/>
    <col min="4" max="4" width="13.44140625" style="4" customWidth="1"/>
    <col min="5" max="5" width="15.6640625" style="4" customWidth="1"/>
    <col min="6" max="6" width="15.6640625" customWidth="1"/>
    <col min="7" max="7" width="12.44140625" style="4" bestFit="1" customWidth="1"/>
    <col min="8" max="8" width="15.6640625" customWidth="1"/>
    <col min="9" max="9" width="12.5546875" style="4" customWidth="1"/>
  </cols>
  <sheetData>
    <row r="1" spans="1:10" x14ac:dyDescent="0.3">
      <c r="A1" s="11" t="s">
        <v>49</v>
      </c>
      <c r="B1" s="12"/>
      <c r="C1" s="11"/>
      <c r="D1" s="12"/>
    </row>
    <row r="2" spans="1:10" x14ac:dyDescent="0.3">
      <c r="A2" s="11" t="s">
        <v>50</v>
      </c>
      <c r="B2" s="12"/>
      <c r="C2" s="11"/>
      <c r="D2" s="12"/>
    </row>
    <row r="4" spans="1:10" x14ac:dyDescent="0.3">
      <c r="A4" s="86" t="s">
        <v>51</v>
      </c>
      <c r="B4" s="86"/>
      <c r="C4" s="86"/>
      <c r="D4" s="86"/>
      <c r="E4" s="86"/>
      <c r="F4" s="86"/>
      <c r="G4" s="86"/>
      <c r="H4" s="86"/>
      <c r="I4" s="86"/>
    </row>
    <row r="5" spans="1:10" x14ac:dyDescent="0.3">
      <c r="A5" s="87" t="s">
        <v>52</v>
      </c>
      <c r="B5" s="87"/>
      <c r="C5" s="87"/>
      <c r="D5" s="87"/>
      <c r="E5" s="87"/>
      <c r="F5" s="87"/>
      <c r="G5" s="87"/>
      <c r="H5" s="87"/>
      <c r="I5" s="87"/>
    </row>
    <row r="6" spans="1:10" ht="30" customHeight="1" x14ac:dyDescent="0.3">
      <c r="A6" s="84" t="s">
        <v>0</v>
      </c>
      <c r="B6" s="85" t="s">
        <v>18</v>
      </c>
      <c r="C6" s="88" t="s">
        <v>19</v>
      </c>
      <c r="D6" s="85" t="s">
        <v>20</v>
      </c>
      <c r="E6" s="85" t="s">
        <v>21</v>
      </c>
      <c r="F6" s="84" t="s">
        <v>22</v>
      </c>
      <c r="G6" s="85" t="s">
        <v>23</v>
      </c>
      <c r="H6" s="84" t="s">
        <v>24</v>
      </c>
      <c r="I6" s="85" t="s">
        <v>25</v>
      </c>
      <c r="J6" t="s">
        <v>61</v>
      </c>
    </row>
    <row r="7" spans="1:10" x14ac:dyDescent="0.3">
      <c r="A7" s="84"/>
      <c r="B7" s="85"/>
      <c r="C7" s="88"/>
      <c r="D7" s="85"/>
      <c r="E7" s="85"/>
      <c r="F7" s="84"/>
      <c r="G7" s="85"/>
      <c r="H7" s="84"/>
      <c r="I7" s="85"/>
    </row>
    <row r="8" spans="1:10" x14ac:dyDescent="0.3">
      <c r="A8" s="2">
        <v>1</v>
      </c>
      <c r="B8" s="17" t="s">
        <v>26</v>
      </c>
      <c r="C8" s="18" t="s">
        <v>39</v>
      </c>
      <c r="D8" s="15">
        <v>1500</v>
      </c>
      <c r="E8" s="13">
        <v>300</v>
      </c>
      <c r="F8" s="16" t="s">
        <v>45</v>
      </c>
      <c r="G8" s="15">
        <f>D8*E8</f>
        <v>450000</v>
      </c>
      <c r="H8" s="14">
        <f>5%*G8</f>
        <v>22500</v>
      </c>
      <c r="I8" s="15">
        <f>G8-H8</f>
        <v>427500</v>
      </c>
    </row>
    <row r="9" spans="1:10" x14ac:dyDescent="0.3">
      <c r="A9" s="2">
        <v>2</v>
      </c>
      <c r="B9" s="17" t="s">
        <v>27</v>
      </c>
      <c r="C9" s="19" t="s">
        <v>44</v>
      </c>
      <c r="D9" s="15">
        <v>1300</v>
      </c>
      <c r="E9" s="13">
        <v>200</v>
      </c>
      <c r="F9" s="16" t="s">
        <v>46</v>
      </c>
      <c r="G9" s="15">
        <f t="shared" ref="G9:G17" si="0">D9*E9</f>
        <v>260000</v>
      </c>
      <c r="H9" s="14">
        <f t="shared" ref="H9:H17" si="1">5%*G9</f>
        <v>13000</v>
      </c>
      <c r="I9" s="15">
        <f t="shared" ref="I9:I17" si="2">G9-H9</f>
        <v>247000</v>
      </c>
    </row>
    <row r="10" spans="1:10" x14ac:dyDescent="0.3">
      <c r="A10" s="2">
        <v>3</v>
      </c>
      <c r="B10" s="17" t="s">
        <v>28</v>
      </c>
      <c r="C10" s="20" t="s">
        <v>43</v>
      </c>
      <c r="D10" s="15">
        <v>6500</v>
      </c>
      <c r="E10" s="13">
        <v>120</v>
      </c>
      <c r="F10" s="16" t="s">
        <v>46</v>
      </c>
      <c r="G10" s="15">
        <f t="shared" si="0"/>
        <v>780000</v>
      </c>
      <c r="H10" s="14">
        <f t="shared" si="1"/>
        <v>39000</v>
      </c>
      <c r="I10" s="15">
        <f t="shared" si="2"/>
        <v>741000</v>
      </c>
    </row>
    <row r="11" spans="1:10" x14ac:dyDescent="0.3">
      <c r="A11" s="2">
        <v>4</v>
      </c>
      <c r="B11" s="17" t="s">
        <v>29</v>
      </c>
      <c r="C11" s="16" t="s">
        <v>42</v>
      </c>
      <c r="D11" s="15">
        <v>1300</v>
      </c>
      <c r="E11" s="13">
        <v>500</v>
      </c>
      <c r="F11" s="16" t="s">
        <v>47</v>
      </c>
      <c r="G11" s="15">
        <f t="shared" si="0"/>
        <v>650000</v>
      </c>
      <c r="H11" s="14">
        <f t="shared" si="1"/>
        <v>32500</v>
      </c>
      <c r="I11" s="15">
        <f t="shared" si="2"/>
        <v>617500</v>
      </c>
    </row>
    <row r="12" spans="1:10" x14ac:dyDescent="0.3">
      <c r="A12" s="2">
        <v>5</v>
      </c>
      <c r="B12" s="17" t="s">
        <v>30</v>
      </c>
      <c r="C12" s="16" t="s">
        <v>41</v>
      </c>
      <c r="D12" s="15">
        <v>1500</v>
      </c>
      <c r="E12" s="13">
        <v>200</v>
      </c>
      <c r="F12" s="16" t="s">
        <v>47</v>
      </c>
      <c r="G12" s="15">
        <f t="shared" si="0"/>
        <v>300000</v>
      </c>
      <c r="H12" s="14">
        <f t="shared" si="1"/>
        <v>15000</v>
      </c>
      <c r="I12" s="15">
        <f t="shared" si="2"/>
        <v>285000</v>
      </c>
    </row>
    <row r="13" spans="1:10" x14ac:dyDescent="0.3">
      <c r="A13" s="2">
        <v>6</v>
      </c>
      <c r="B13" s="17" t="s">
        <v>31</v>
      </c>
      <c r="C13" s="16" t="s">
        <v>40</v>
      </c>
      <c r="D13" s="15">
        <v>1750</v>
      </c>
      <c r="E13" s="13">
        <v>200</v>
      </c>
      <c r="F13" s="16" t="s">
        <v>47</v>
      </c>
      <c r="G13" s="15">
        <f t="shared" si="0"/>
        <v>350000</v>
      </c>
      <c r="H13" s="14">
        <f t="shared" si="1"/>
        <v>17500</v>
      </c>
      <c r="I13" s="15">
        <f t="shared" si="2"/>
        <v>332500</v>
      </c>
    </row>
    <row r="14" spans="1:10" x14ac:dyDescent="0.3">
      <c r="A14" s="2">
        <v>7</v>
      </c>
      <c r="B14" s="17" t="s">
        <v>32</v>
      </c>
      <c r="C14" s="16" t="s">
        <v>39</v>
      </c>
      <c r="D14" s="15">
        <v>3500</v>
      </c>
      <c r="E14" s="13">
        <v>160</v>
      </c>
      <c r="F14" s="16" t="s">
        <v>48</v>
      </c>
      <c r="G14" s="15">
        <f t="shared" si="0"/>
        <v>560000</v>
      </c>
      <c r="H14" s="14">
        <f t="shared" si="1"/>
        <v>28000</v>
      </c>
      <c r="I14" s="15">
        <f t="shared" si="2"/>
        <v>532000</v>
      </c>
    </row>
    <row r="15" spans="1:10" x14ac:dyDescent="0.3">
      <c r="A15" s="2">
        <v>8</v>
      </c>
      <c r="B15" s="17" t="s">
        <v>33</v>
      </c>
      <c r="C15" s="16" t="s">
        <v>38</v>
      </c>
      <c r="D15" s="15">
        <v>27500</v>
      </c>
      <c r="E15" s="13">
        <v>400</v>
      </c>
      <c r="F15" s="16" t="s">
        <v>46</v>
      </c>
      <c r="G15" s="15">
        <f t="shared" si="0"/>
        <v>11000000</v>
      </c>
      <c r="H15" s="14">
        <f t="shared" si="1"/>
        <v>550000</v>
      </c>
      <c r="I15" s="15">
        <f t="shared" si="2"/>
        <v>10450000</v>
      </c>
    </row>
    <row r="16" spans="1:10" x14ac:dyDescent="0.3">
      <c r="A16" s="2">
        <v>9</v>
      </c>
      <c r="B16" s="17" t="s">
        <v>34</v>
      </c>
      <c r="C16" s="16" t="s">
        <v>37</v>
      </c>
      <c r="D16" s="15">
        <v>3500</v>
      </c>
      <c r="E16" s="13">
        <v>200</v>
      </c>
      <c r="F16" s="16" t="s">
        <v>45</v>
      </c>
      <c r="G16" s="15">
        <f t="shared" si="0"/>
        <v>700000</v>
      </c>
      <c r="H16" s="14">
        <f t="shared" si="1"/>
        <v>35000</v>
      </c>
      <c r="I16" s="15">
        <f t="shared" si="2"/>
        <v>665000</v>
      </c>
    </row>
    <row r="17" spans="1:9" x14ac:dyDescent="0.3">
      <c r="A17" s="2">
        <v>10</v>
      </c>
      <c r="B17" s="17" t="s">
        <v>35</v>
      </c>
      <c r="C17" s="16" t="s">
        <v>36</v>
      </c>
      <c r="D17" s="15">
        <v>4750</v>
      </c>
      <c r="E17" s="13">
        <v>100</v>
      </c>
      <c r="F17" s="16" t="s">
        <v>46</v>
      </c>
      <c r="G17" s="15">
        <f t="shared" si="0"/>
        <v>475000</v>
      </c>
      <c r="H17" s="14">
        <f t="shared" si="1"/>
        <v>23750</v>
      </c>
      <c r="I17" s="15">
        <f t="shared" si="2"/>
        <v>451250</v>
      </c>
    </row>
    <row r="19" spans="1:9" x14ac:dyDescent="0.3">
      <c r="A19" s="83" t="s">
        <v>53</v>
      </c>
      <c r="B19" s="83"/>
      <c r="C19" s="83"/>
      <c r="D19" s="83"/>
      <c r="E19" s="83"/>
      <c r="F19" s="83"/>
      <c r="G19" s="83"/>
      <c r="H19" s="83"/>
      <c r="I19" s="83"/>
    </row>
    <row r="20" spans="1:9" x14ac:dyDescent="0.3">
      <c r="A20" t="s">
        <v>54</v>
      </c>
    </row>
    <row r="21" spans="1:9" x14ac:dyDescent="0.3">
      <c r="A21" s="83" t="s">
        <v>55</v>
      </c>
      <c r="B21" s="83"/>
      <c r="C21" s="83" t="s">
        <v>56</v>
      </c>
      <c r="D21" s="83"/>
    </row>
    <row r="22" spans="1:9" x14ac:dyDescent="0.3">
      <c r="A22" s="83" t="s">
        <v>57</v>
      </c>
      <c r="B22" s="83"/>
      <c r="C22" s="83" t="s">
        <v>58</v>
      </c>
      <c r="D22" s="83"/>
    </row>
    <row r="23" spans="1:9" x14ac:dyDescent="0.3">
      <c r="A23" s="83" t="s">
        <v>59</v>
      </c>
      <c r="B23" s="83"/>
      <c r="C23" s="83" t="s">
        <v>60</v>
      </c>
      <c r="D23" s="83"/>
    </row>
  </sheetData>
  <mergeCells count="18">
    <mergeCell ref="I6:I7"/>
    <mergeCell ref="A4:I4"/>
    <mergeCell ref="A5:I5"/>
    <mergeCell ref="A19:I19"/>
    <mergeCell ref="A21:B21"/>
    <mergeCell ref="C21:D21"/>
    <mergeCell ref="A6:A7"/>
    <mergeCell ref="B6:B7"/>
    <mergeCell ref="C6:C7"/>
    <mergeCell ref="D6:D7"/>
    <mergeCell ref="E6:E7"/>
    <mergeCell ref="G6:G7"/>
    <mergeCell ref="F6:F7"/>
    <mergeCell ref="A22:B22"/>
    <mergeCell ref="A23:B23"/>
    <mergeCell ref="C22:D22"/>
    <mergeCell ref="C23:D23"/>
    <mergeCell ref="H6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ACA4-7669-41F4-9D7E-6964BF60C3BF}">
  <dimension ref="A2:C10"/>
  <sheetViews>
    <sheetView workbookViewId="0">
      <selection activeCell="B11" sqref="B11"/>
    </sheetView>
  </sheetViews>
  <sheetFormatPr defaultRowHeight="14.4" x14ac:dyDescent="0.3"/>
  <cols>
    <col min="1" max="1" width="19.33203125" bestFit="1" customWidth="1"/>
    <col min="2" max="3" width="15.6640625" customWidth="1"/>
  </cols>
  <sheetData>
    <row r="2" spans="1:3" x14ac:dyDescent="0.3">
      <c r="B2" s="1">
        <v>100</v>
      </c>
    </row>
    <row r="3" spans="1:3" x14ac:dyDescent="0.3">
      <c r="B3" s="1">
        <v>110</v>
      </c>
    </row>
    <row r="4" spans="1:3" x14ac:dyDescent="0.3">
      <c r="B4" s="1">
        <v>50</v>
      </c>
    </row>
    <row r="5" spans="1:3" x14ac:dyDescent="0.3">
      <c r="B5" s="21">
        <v>750</v>
      </c>
    </row>
    <row r="6" spans="1:3" x14ac:dyDescent="0.3">
      <c r="A6" s="22" t="s">
        <v>62</v>
      </c>
      <c r="B6" s="1">
        <f>SUM(B2:B5)</f>
        <v>1010</v>
      </c>
      <c r="C6" s="1"/>
    </row>
    <row r="7" spans="1:3" x14ac:dyDescent="0.3">
      <c r="A7" s="22" t="s">
        <v>63</v>
      </c>
      <c r="B7" s="1">
        <f>MAX(B2:B5)</f>
        <v>750</v>
      </c>
      <c r="C7" s="1"/>
    </row>
    <row r="8" spans="1:3" x14ac:dyDescent="0.3">
      <c r="A8" s="22" t="s">
        <v>64</v>
      </c>
      <c r="B8" s="1">
        <f>MIN(B2:B5)</f>
        <v>50</v>
      </c>
      <c r="C8" s="1"/>
    </row>
    <row r="9" spans="1:3" x14ac:dyDescent="0.3">
      <c r="A9" s="22" t="s">
        <v>65</v>
      </c>
      <c r="B9" s="1">
        <f>AVERAGE(B2:B5)</f>
        <v>252.5</v>
      </c>
      <c r="C9" s="1"/>
    </row>
    <row r="10" spans="1:3" x14ac:dyDescent="0.3">
      <c r="A10" s="22" t="s">
        <v>66</v>
      </c>
      <c r="B10" s="1">
        <f>COUNT(B2:B5)</f>
        <v>4</v>
      </c>
      <c r="C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2CF0-AA48-418A-9C19-917432E99F80}">
  <dimension ref="A2:J13"/>
  <sheetViews>
    <sheetView zoomScale="83" workbookViewId="0">
      <selection activeCell="K1" sqref="A1:XFD1"/>
    </sheetView>
  </sheetViews>
  <sheetFormatPr defaultRowHeight="14.4" x14ac:dyDescent="0.3"/>
  <cols>
    <col min="1" max="1" width="5" customWidth="1"/>
    <col min="2" max="2" width="17.88671875" bestFit="1" customWidth="1"/>
    <col min="3" max="3" width="16.6640625" customWidth="1"/>
    <col min="4" max="4" width="14.44140625" customWidth="1"/>
    <col min="5" max="5" width="16.6640625" customWidth="1"/>
    <col min="6" max="6" width="15" style="4" customWidth="1"/>
    <col min="7" max="7" width="13.33203125" style="4" customWidth="1"/>
    <col min="8" max="8" width="18.109375" customWidth="1"/>
    <col min="9" max="10" width="16.6640625" customWidth="1"/>
  </cols>
  <sheetData>
    <row r="2" spans="1:10" ht="30" customHeight="1" x14ac:dyDescent="0.3">
      <c r="A2" s="91" t="s">
        <v>0</v>
      </c>
      <c r="B2" s="91" t="s">
        <v>67</v>
      </c>
      <c r="C2" s="91" t="s">
        <v>68</v>
      </c>
      <c r="D2" s="91" t="s">
        <v>69</v>
      </c>
      <c r="E2" s="91" t="s">
        <v>70</v>
      </c>
      <c r="F2" s="89" t="s">
        <v>71</v>
      </c>
      <c r="G2" s="89" t="s">
        <v>72</v>
      </c>
      <c r="H2" s="89" t="s">
        <v>73</v>
      </c>
      <c r="I2" s="91" t="s">
        <v>74</v>
      </c>
      <c r="J2" s="91" t="s">
        <v>75</v>
      </c>
    </row>
    <row r="3" spans="1:10" x14ac:dyDescent="0.3">
      <c r="A3" s="92"/>
      <c r="B3" s="92"/>
      <c r="C3" s="92"/>
      <c r="D3" s="92"/>
      <c r="E3" s="92"/>
      <c r="F3" s="90"/>
      <c r="G3" s="90"/>
      <c r="H3" s="90"/>
      <c r="I3" s="92"/>
      <c r="J3" s="92"/>
    </row>
    <row r="4" spans="1:10" x14ac:dyDescent="0.3">
      <c r="A4" s="2">
        <v>1</v>
      </c>
      <c r="B4" s="1" t="s">
        <v>76</v>
      </c>
      <c r="C4" s="1" t="s">
        <v>83</v>
      </c>
      <c r="D4" s="5">
        <v>3</v>
      </c>
      <c r="E4" s="23">
        <v>4500000</v>
      </c>
      <c r="F4" s="10">
        <f>D4*10%*E4</f>
        <v>1350000.0000000002</v>
      </c>
      <c r="G4" s="10">
        <f>7%*E4</f>
        <v>315000.00000000006</v>
      </c>
      <c r="H4" s="9">
        <v>500000</v>
      </c>
      <c r="I4" s="9">
        <v>150000</v>
      </c>
      <c r="J4" s="9">
        <f>E4+F4+G4+H4-I4</f>
        <v>6515000</v>
      </c>
    </row>
    <row r="5" spans="1:10" x14ac:dyDescent="0.3">
      <c r="A5" s="2">
        <v>2</v>
      </c>
      <c r="B5" s="1" t="s">
        <v>77</v>
      </c>
      <c r="C5" s="1" t="s">
        <v>82</v>
      </c>
      <c r="D5" s="5">
        <v>2</v>
      </c>
      <c r="E5" s="23">
        <v>3500000</v>
      </c>
      <c r="F5" s="10">
        <f t="shared" ref="F5:F8" si="0">D5*10%*E5</f>
        <v>700000</v>
      </c>
      <c r="G5" s="10">
        <f t="shared" ref="G5:G8" si="1">7%*E5</f>
        <v>245000.00000000003</v>
      </c>
      <c r="H5" s="9">
        <v>350000</v>
      </c>
      <c r="I5" s="9">
        <v>150000</v>
      </c>
      <c r="J5" s="9">
        <f t="shared" ref="J5:J8" si="2">E5+F5+G5+H5-I5</f>
        <v>4645000</v>
      </c>
    </row>
    <row r="6" spans="1:10" x14ac:dyDescent="0.3">
      <c r="A6" s="2">
        <v>3</v>
      </c>
      <c r="B6" s="1" t="s">
        <v>78</v>
      </c>
      <c r="C6" s="1" t="s">
        <v>81</v>
      </c>
      <c r="D6" s="5">
        <v>2</v>
      </c>
      <c r="E6" s="23">
        <v>1890000</v>
      </c>
      <c r="F6" s="10">
        <f t="shared" si="0"/>
        <v>378000</v>
      </c>
      <c r="G6" s="10">
        <f t="shared" si="1"/>
        <v>132300</v>
      </c>
      <c r="H6" s="1"/>
      <c r="I6" s="9">
        <v>150000</v>
      </c>
      <c r="J6" s="9">
        <f t="shared" si="2"/>
        <v>2250300</v>
      </c>
    </row>
    <row r="7" spans="1:10" x14ac:dyDescent="0.3">
      <c r="A7" s="2">
        <v>4</v>
      </c>
      <c r="B7" s="1" t="s">
        <v>79</v>
      </c>
      <c r="C7" s="1" t="s">
        <v>81</v>
      </c>
      <c r="D7" s="5">
        <v>1</v>
      </c>
      <c r="E7" s="23">
        <v>1890000</v>
      </c>
      <c r="F7" s="10">
        <f t="shared" si="0"/>
        <v>189000</v>
      </c>
      <c r="G7" s="10">
        <f t="shared" si="1"/>
        <v>132300</v>
      </c>
      <c r="H7" s="1"/>
      <c r="I7" s="9">
        <v>150000</v>
      </c>
      <c r="J7" s="9">
        <f t="shared" si="2"/>
        <v>2061300</v>
      </c>
    </row>
    <row r="8" spans="1:10" x14ac:dyDescent="0.3">
      <c r="A8" s="2">
        <v>5</v>
      </c>
      <c r="B8" s="1" t="s">
        <v>80</v>
      </c>
      <c r="C8" s="1" t="s">
        <v>81</v>
      </c>
      <c r="D8" s="5">
        <v>1</v>
      </c>
      <c r="E8" s="23">
        <v>1890000</v>
      </c>
      <c r="F8" s="10">
        <f t="shared" si="0"/>
        <v>189000</v>
      </c>
      <c r="G8" s="10">
        <f t="shared" si="1"/>
        <v>132300</v>
      </c>
      <c r="H8" s="1"/>
      <c r="I8" s="9">
        <v>150000</v>
      </c>
      <c r="J8" s="9">
        <f t="shared" si="2"/>
        <v>2061300</v>
      </c>
    </row>
    <row r="9" spans="1:10" x14ac:dyDescent="0.3">
      <c r="I9" s="22" t="s">
        <v>84</v>
      </c>
      <c r="J9" s="9">
        <f>SUM(J4:J8)</f>
        <v>17532900</v>
      </c>
    </row>
    <row r="10" spans="1:10" x14ac:dyDescent="0.3">
      <c r="I10" s="22" t="s">
        <v>85</v>
      </c>
      <c r="J10" s="9">
        <f>MAX(J4:J8)</f>
        <v>6515000</v>
      </c>
    </row>
    <row r="11" spans="1:10" x14ac:dyDescent="0.3">
      <c r="I11" s="22" t="s">
        <v>86</v>
      </c>
      <c r="J11" s="9">
        <f>MIN(J4:J8)</f>
        <v>2061300</v>
      </c>
    </row>
    <row r="12" spans="1:10" x14ac:dyDescent="0.3">
      <c r="I12" s="22" t="s">
        <v>87</v>
      </c>
      <c r="J12" s="9">
        <f>AVERAGE(J4:J8)</f>
        <v>3506580</v>
      </c>
    </row>
    <row r="13" spans="1:10" x14ac:dyDescent="0.3">
      <c r="I13" s="22" t="s">
        <v>88</v>
      </c>
      <c r="J13" s="1">
        <f>COUNT(J4:J8)</f>
        <v>5</v>
      </c>
    </row>
  </sheetData>
  <mergeCells count="10"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89B5-8981-4EA5-8809-FFDA91AA384E}">
  <dimension ref="B1:K8"/>
  <sheetViews>
    <sheetView topLeftCell="H13" workbookViewId="0">
      <selection activeCell="F3" sqref="F3"/>
    </sheetView>
  </sheetViews>
  <sheetFormatPr defaultRowHeight="14.4" x14ac:dyDescent="0.3"/>
  <cols>
    <col min="4" max="4" width="16" bestFit="1" customWidth="1"/>
    <col min="5" max="5" width="12.44140625" bestFit="1" customWidth="1"/>
  </cols>
  <sheetData>
    <row r="1" spans="2:11" x14ac:dyDescent="0.3">
      <c r="D1" s="1" t="s">
        <v>89</v>
      </c>
      <c r="E1" s="25">
        <v>25000</v>
      </c>
    </row>
    <row r="2" spans="2:11" x14ac:dyDescent="0.3">
      <c r="B2" s="1" t="s">
        <v>90</v>
      </c>
      <c r="C2" s="1" t="s">
        <v>91</v>
      </c>
      <c r="D2" s="1" t="s">
        <v>92</v>
      </c>
      <c r="E2" s="1" t="s">
        <v>93</v>
      </c>
      <c r="K2" s="24"/>
    </row>
    <row r="3" spans="2:11" x14ac:dyDescent="0.3">
      <c r="B3" s="1">
        <v>1</v>
      </c>
      <c r="C3" s="1" t="s">
        <v>94</v>
      </c>
      <c r="D3" s="1">
        <v>6</v>
      </c>
      <c r="E3" s="26">
        <f>D3*$E$1</f>
        <v>150000</v>
      </c>
    </row>
    <row r="4" spans="2:11" x14ac:dyDescent="0.3">
      <c r="B4" s="1">
        <v>2</v>
      </c>
      <c r="C4" s="1" t="s">
        <v>95</v>
      </c>
      <c r="D4" s="1">
        <v>7</v>
      </c>
      <c r="E4" s="26">
        <f t="shared" ref="E4:E8" si="0">D4*$E$1</f>
        <v>175000</v>
      </c>
    </row>
    <row r="5" spans="2:11" x14ac:dyDescent="0.3">
      <c r="B5" s="1">
        <v>3</v>
      </c>
      <c r="C5" s="1" t="s">
        <v>96</v>
      </c>
      <c r="D5" s="1">
        <v>8</v>
      </c>
      <c r="E5" s="26">
        <f t="shared" si="0"/>
        <v>200000</v>
      </c>
    </row>
    <row r="6" spans="2:11" x14ac:dyDescent="0.3">
      <c r="B6" s="1">
        <v>4</v>
      </c>
      <c r="C6" s="1" t="s">
        <v>97</v>
      </c>
      <c r="D6" s="1">
        <v>7</v>
      </c>
      <c r="E6" s="26">
        <f t="shared" si="0"/>
        <v>175000</v>
      </c>
    </row>
    <row r="7" spans="2:11" x14ac:dyDescent="0.3">
      <c r="B7" s="1">
        <v>5</v>
      </c>
      <c r="C7" s="1" t="s">
        <v>98</v>
      </c>
      <c r="D7" s="1">
        <v>8</v>
      </c>
      <c r="E7" s="26">
        <f t="shared" si="0"/>
        <v>200000</v>
      </c>
    </row>
    <row r="8" spans="2:11" x14ac:dyDescent="0.3">
      <c r="B8" s="1">
        <v>6</v>
      </c>
      <c r="C8" s="1" t="s">
        <v>99</v>
      </c>
      <c r="D8" s="1">
        <v>8</v>
      </c>
      <c r="E8" s="26">
        <f t="shared" si="0"/>
        <v>200000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EA54-34FE-4129-814E-133A37F0AACF}">
  <dimension ref="A1:J14"/>
  <sheetViews>
    <sheetView zoomScale="87" workbookViewId="0">
      <selection activeCell="D6" sqref="D6"/>
    </sheetView>
  </sheetViews>
  <sheetFormatPr defaultRowHeight="14.4" x14ac:dyDescent="0.3"/>
  <cols>
    <col min="1" max="1" width="21.77734375" style="28" customWidth="1"/>
    <col min="2" max="2" width="18.44140625" style="32" bestFit="1" customWidth="1"/>
    <col min="3" max="3" width="20.44140625" style="28" customWidth="1"/>
    <col min="4" max="9" width="19.109375" style="28" customWidth="1"/>
    <col min="10" max="10" width="19.5546875" style="28" customWidth="1"/>
  </cols>
  <sheetData>
    <row r="1" spans="1:10" x14ac:dyDescent="0.3">
      <c r="A1" s="30" t="s">
        <v>100</v>
      </c>
      <c r="B1" s="29">
        <v>0.25</v>
      </c>
    </row>
    <row r="3" spans="1:10" s="27" customFormat="1" x14ac:dyDescent="0.3">
      <c r="A3" s="94" t="s">
        <v>101</v>
      </c>
      <c r="B3" s="95" t="s">
        <v>102</v>
      </c>
      <c r="C3" s="96" t="s">
        <v>103</v>
      </c>
      <c r="D3" s="96" t="s">
        <v>104</v>
      </c>
      <c r="E3" s="96"/>
      <c r="F3" s="96"/>
      <c r="G3" s="96"/>
      <c r="H3" s="96"/>
      <c r="I3" s="96"/>
      <c r="J3" s="94" t="s">
        <v>111</v>
      </c>
    </row>
    <row r="4" spans="1:10" s="27" customFormat="1" x14ac:dyDescent="0.3">
      <c r="A4" s="94"/>
      <c r="B4" s="95"/>
      <c r="C4" s="96"/>
      <c r="D4" s="42" t="s">
        <v>105</v>
      </c>
      <c r="E4" s="42" t="s">
        <v>106</v>
      </c>
      <c r="F4" s="41" t="s">
        <v>107</v>
      </c>
      <c r="G4" s="41" t="s">
        <v>110</v>
      </c>
      <c r="H4" s="41" t="s">
        <v>109</v>
      </c>
      <c r="I4" s="41" t="s">
        <v>108</v>
      </c>
      <c r="J4" s="94"/>
    </row>
    <row r="5" spans="1:10" s="27" customFormat="1" x14ac:dyDescent="0.3">
      <c r="A5" s="94"/>
      <c r="B5" s="95"/>
      <c r="C5" s="96"/>
      <c r="D5" s="42">
        <v>0.5</v>
      </c>
      <c r="E5" s="42">
        <v>0.45</v>
      </c>
      <c r="F5" s="42">
        <v>0.35</v>
      </c>
      <c r="G5" s="42">
        <v>0.3</v>
      </c>
      <c r="H5" s="42">
        <v>0.25</v>
      </c>
      <c r="I5" s="42">
        <v>0.2</v>
      </c>
      <c r="J5" s="94"/>
    </row>
    <row r="6" spans="1:10" x14ac:dyDescent="0.3">
      <c r="A6" s="33" t="s">
        <v>112</v>
      </c>
      <c r="B6" s="34">
        <v>16770000</v>
      </c>
      <c r="C6" s="34">
        <f>B6*$B$1</f>
        <v>4192500</v>
      </c>
      <c r="D6" s="34">
        <f>(B6-C6)*$D$5</f>
        <v>6288750</v>
      </c>
      <c r="E6" s="34">
        <f>(B6-C6)*$E$5</f>
        <v>5659875</v>
      </c>
      <c r="F6" s="34">
        <f>(B6-C6)*$F$5</f>
        <v>4402125</v>
      </c>
      <c r="G6" s="34">
        <f>(B6-C6)*$G$5</f>
        <v>3773250</v>
      </c>
      <c r="H6" s="34">
        <f>(B6-C6)*$H$5</f>
        <v>3144375</v>
      </c>
      <c r="I6" s="34">
        <f>(B6-C6)*$I$5</f>
        <v>2515500</v>
      </c>
      <c r="J6" s="34">
        <f>D6+E6+F6+G6+H6+I6+C6</f>
        <v>29976375</v>
      </c>
    </row>
    <row r="7" spans="1:10" x14ac:dyDescent="0.3">
      <c r="A7" s="33" t="s">
        <v>113</v>
      </c>
      <c r="B7" s="34">
        <v>23620000</v>
      </c>
      <c r="C7" s="34">
        <f t="shared" ref="C7:C10" si="0">B7*$B$1</f>
        <v>5905000</v>
      </c>
      <c r="D7" s="34">
        <f t="shared" ref="D7:D10" si="1">(B7-C7)*$D$5</f>
        <v>8857500</v>
      </c>
      <c r="E7" s="34">
        <f t="shared" ref="E7:E10" si="2">(B7-C7)*$E$5</f>
        <v>7971750</v>
      </c>
      <c r="F7" s="34">
        <f t="shared" ref="F7:F10" si="3">(B7-C7)*$F$5</f>
        <v>6200250</v>
      </c>
      <c r="G7" s="34">
        <f t="shared" ref="G7:G10" si="4">(B7-C7)*$G$5</f>
        <v>5314500</v>
      </c>
      <c r="H7" s="34">
        <f t="shared" ref="H7:H10" si="5">(B7-C7)*$H$5</f>
        <v>4428750</v>
      </c>
      <c r="I7" s="34">
        <f t="shared" ref="I7:I10" si="6">(B7-C7)*$I$5</f>
        <v>3543000</v>
      </c>
      <c r="J7" s="34">
        <f t="shared" ref="J7:J10" si="7">D7+E7+F7+G7+H7+I7+C7</f>
        <v>42220750</v>
      </c>
    </row>
    <row r="8" spans="1:10" x14ac:dyDescent="0.3">
      <c r="A8" s="33" t="s">
        <v>114</v>
      </c>
      <c r="B8" s="34">
        <v>20940000</v>
      </c>
      <c r="C8" s="34">
        <f t="shared" si="0"/>
        <v>5235000</v>
      </c>
      <c r="D8" s="34">
        <f t="shared" si="1"/>
        <v>7852500</v>
      </c>
      <c r="E8" s="34">
        <f t="shared" si="2"/>
        <v>7067250</v>
      </c>
      <c r="F8" s="34">
        <f t="shared" si="3"/>
        <v>5496750</v>
      </c>
      <c r="G8" s="34">
        <f t="shared" si="4"/>
        <v>4711500</v>
      </c>
      <c r="H8" s="34">
        <f t="shared" si="5"/>
        <v>3926250</v>
      </c>
      <c r="I8" s="34">
        <f t="shared" si="6"/>
        <v>3141000</v>
      </c>
      <c r="J8" s="34">
        <f t="shared" si="7"/>
        <v>37430250</v>
      </c>
    </row>
    <row r="9" spans="1:10" x14ac:dyDescent="0.3">
      <c r="A9" s="33" t="s">
        <v>115</v>
      </c>
      <c r="B9" s="34">
        <v>36500000</v>
      </c>
      <c r="C9" s="34">
        <f t="shared" si="0"/>
        <v>9125000</v>
      </c>
      <c r="D9" s="34">
        <f t="shared" si="1"/>
        <v>13687500</v>
      </c>
      <c r="E9" s="34">
        <f t="shared" si="2"/>
        <v>12318750</v>
      </c>
      <c r="F9" s="34">
        <f t="shared" si="3"/>
        <v>9581250</v>
      </c>
      <c r="G9" s="34">
        <f t="shared" si="4"/>
        <v>8212500</v>
      </c>
      <c r="H9" s="34">
        <f t="shared" si="5"/>
        <v>6843750</v>
      </c>
      <c r="I9" s="34">
        <f t="shared" si="6"/>
        <v>5475000</v>
      </c>
      <c r="J9" s="34">
        <f t="shared" si="7"/>
        <v>65243750</v>
      </c>
    </row>
    <row r="10" spans="1:10" x14ac:dyDescent="0.3">
      <c r="A10" s="33" t="s">
        <v>116</v>
      </c>
      <c r="B10" s="34">
        <v>31930000</v>
      </c>
      <c r="C10" s="34">
        <f t="shared" si="0"/>
        <v>7982500</v>
      </c>
      <c r="D10" s="34">
        <f t="shared" si="1"/>
        <v>11973750</v>
      </c>
      <c r="E10" s="34">
        <f t="shared" si="2"/>
        <v>10776375</v>
      </c>
      <c r="F10" s="34">
        <f t="shared" si="3"/>
        <v>8381624.9999999991</v>
      </c>
      <c r="G10" s="34">
        <f t="shared" si="4"/>
        <v>7184250</v>
      </c>
      <c r="H10" s="34">
        <f t="shared" si="5"/>
        <v>5986875</v>
      </c>
      <c r="I10" s="34">
        <f t="shared" si="6"/>
        <v>4789500</v>
      </c>
      <c r="J10" s="34">
        <f t="shared" si="7"/>
        <v>57074875</v>
      </c>
    </row>
    <row r="11" spans="1:10" x14ac:dyDescent="0.3">
      <c r="A11" s="35"/>
      <c r="B11" s="36"/>
      <c r="C11" s="35"/>
      <c r="D11" s="35"/>
      <c r="E11" s="35"/>
      <c r="F11" s="35"/>
      <c r="G11" s="35"/>
      <c r="H11" s="97" t="s">
        <v>117</v>
      </c>
      <c r="I11" s="97"/>
      <c r="J11" s="34">
        <f>SUM(J6:J10)</f>
        <v>231946000</v>
      </c>
    </row>
    <row r="12" spans="1:10" x14ac:dyDescent="0.3">
      <c r="A12" s="37"/>
      <c r="B12" s="38"/>
      <c r="C12" s="37"/>
      <c r="D12" s="37"/>
      <c r="E12" s="37"/>
      <c r="F12" s="37"/>
      <c r="G12" s="37"/>
      <c r="H12" s="98" t="s">
        <v>118</v>
      </c>
      <c r="I12" s="98"/>
      <c r="J12" s="34">
        <f>MIN(J6:J10)</f>
        <v>29976375</v>
      </c>
    </row>
    <row r="13" spans="1:10" x14ac:dyDescent="0.3">
      <c r="A13" s="37"/>
      <c r="B13" s="38"/>
      <c r="C13" s="37"/>
      <c r="D13" s="37"/>
      <c r="E13" s="37"/>
      <c r="F13" s="37"/>
      <c r="G13" s="37"/>
      <c r="H13" s="98" t="s">
        <v>119</v>
      </c>
      <c r="I13" s="98"/>
      <c r="J13" s="34">
        <f>MAX(J6:J10)</f>
        <v>65243750</v>
      </c>
    </row>
    <row r="14" spans="1:10" x14ac:dyDescent="0.3">
      <c r="A14" s="39"/>
      <c r="B14" s="40"/>
      <c r="C14" s="39"/>
      <c r="D14" s="39"/>
      <c r="E14" s="39"/>
      <c r="F14" s="39"/>
      <c r="G14" s="39"/>
      <c r="H14" s="93" t="s">
        <v>120</v>
      </c>
      <c r="I14" s="93"/>
      <c r="J14" s="34">
        <f>AVERAGE(J6:J10)</f>
        <v>46389200</v>
      </c>
    </row>
  </sheetData>
  <mergeCells count="9">
    <mergeCell ref="H14:I14"/>
    <mergeCell ref="A3:A5"/>
    <mergeCell ref="B3:B5"/>
    <mergeCell ref="D3:I3"/>
    <mergeCell ref="J3:J5"/>
    <mergeCell ref="C3:C5"/>
    <mergeCell ref="H11:I11"/>
    <mergeCell ref="H12:I12"/>
    <mergeCell ref="H13:I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9112-E62B-4CE3-A147-F6C7F14438C1}">
  <dimension ref="C1:E12"/>
  <sheetViews>
    <sheetView workbookViewId="0">
      <selection activeCell="C3" sqref="C3:D3"/>
    </sheetView>
  </sheetViews>
  <sheetFormatPr defaultRowHeight="14.4" x14ac:dyDescent="0.3"/>
  <cols>
    <col min="3" max="3" width="18" customWidth="1"/>
    <col min="4" max="4" width="18.21875" customWidth="1"/>
    <col min="5" max="5" width="22.33203125" bestFit="1" customWidth="1"/>
  </cols>
  <sheetData>
    <row r="1" spans="3:5" x14ac:dyDescent="0.3">
      <c r="C1" s="28"/>
      <c r="D1" s="28"/>
      <c r="E1" s="28"/>
    </row>
    <row r="2" spans="3:5" x14ac:dyDescent="0.3">
      <c r="C2" s="28"/>
      <c r="D2" s="28"/>
      <c r="E2" s="28"/>
    </row>
    <row r="3" spans="3:5" x14ac:dyDescent="0.3">
      <c r="C3" s="86" t="s">
        <v>121</v>
      </c>
      <c r="D3" s="99"/>
      <c r="E3" s="43" t="s">
        <v>122</v>
      </c>
    </row>
    <row r="4" spans="3:5" x14ac:dyDescent="0.3">
      <c r="C4" s="28"/>
      <c r="D4" s="28"/>
      <c r="E4" s="28"/>
    </row>
    <row r="5" spans="3:5" x14ac:dyDescent="0.3">
      <c r="C5" s="100" t="s">
        <v>123</v>
      </c>
      <c r="D5" s="102" t="s">
        <v>124</v>
      </c>
      <c r="E5" s="100" t="s">
        <v>125</v>
      </c>
    </row>
    <row r="6" spans="3:5" x14ac:dyDescent="0.3">
      <c r="C6" s="101"/>
      <c r="D6" s="103"/>
      <c r="E6" s="101"/>
    </row>
    <row r="7" spans="3:5" x14ac:dyDescent="0.3">
      <c r="C7" s="16" t="s">
        <v>126</v>
      </c>
      <c r="D7" s="16" t="str">
        <f>LEFT(C3, 5)</f>
        <v>PEKAN</v>
      </c>
      <c r="E7" s="2"/>
    </row>
    <row r="8" spans="3:5" x14ac:dyDescent="0.3">
      <c r="C8" s="16" t="s">
        <v>127</v>
      </c>
      <c r="D8" s="16" t="str">
        <f>MID(C3,6,4)</f>
        <v>BARU</v>
      </c>
      <c r="E8" s="2"/>
    </row>
    <row r="9" spans="3:5" x14ac:dyDescent="0.3">
      <c r="C9" s="16" t="s">
        <v>128</v>
      </c>
      <c r="D9" s="16" t="str">
        <f>LEFT(C3,9)</f>
        <v>PEKANBARU</v>
      </c>
      <c r="E9" s="2"/>
    </row>
    <row r="10" spans="3:5" x14ac:dyDescent="0.3">
      <c r="C10" s="16" t="s">
        <v>129</v>
      </c>
      <c r="D10" s="16" t="str">
        <f>MID(C3,10,5)</f>
        <v xml:space="preserve"> KOTA</v>
      </c>
      <c r="E10" s="2"/>
    </row>
    <row r="11" spans="3:5" x14ac:dyDescent="0.3">
      <c r="C11" s="16" t="s">
        <v>130</v>
      </c>
      <c r="D11" s="16" t="str">
        <f>RIGHT(C3,12)</f>
        <v>KOTA BERTUAH</v>
      </c>
      <c r="E11" s="2"/>
    </row>
    <row r="12" spans="3:5" x14ac:dyDescent="0.3">
      <c r="C12" s="16" t="s">
        <v>131</v>
      </c>
      <c r="D12" s="16" t="str">
        <f>RIGHT(C3, 7)</f>
        <v>BERTUAH</v>
      </c>
      <c r="E12" s="2"/>
    </row>
  </sheetData>
  <mergeCells count="4">
    <mergeCell ref="C3:D3"/>
    <mergeCell ref="C5:C6"/>
    <mergeCell ref="D5:D6"/>
    <mergeCell ref="E5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80B2-DD7C-4D1F-974E-5BB4F08076AC}">
  <dimension ref="A1:H16"/>
  <sheetViews>
    <sheetView workbookViewId="0">
      <selection activeCell="J7" sqref="J7"/>
    </sheetView>
  </sheetViews>
  <sheetFormatPr defaultRowHeight="14.4" x14ac:dyDescent="0.3"/>
  <cols>
    <col min="1" max="1" width="5.5546875" customWidth="1"/>
    <col min="2" max="2" width="13.21875" bestFit="1" customWidth="1"/>
    <col min="3" max="3" width="10.5546875" bestFit="1" customWidth="1"/>
    <col min="4" max="4" width="6.44140625" bestFit="1" customWidth="1"/>
    <col min="5" max="5" width="10.21875" bestFit="1" customWidth="1"/>
    <col min="6" max="6" width="11.88671875" customWidth="1"/>
    <col min="7" max="7" width="10.5546875" bestFit="1" customWidth="1"/>
    <col min="8" max="8" width="12.5546875" customWidth="1"/>
  </cols>
  <sheetData>
    <row r="1" spans="1:8" x14ac:dyDescent="0.3">
      <c r="A1" s="104" t="s">
        <v>132</v>
      </c>
      <c r="B1" s="104"/>
      <c r="C1" s="104"/>
      <c r="D1" s="104"/>
      <c r="E1" s="104"/>
      <c r="F1" s="104"/>
      <c r="G1" s="104"/>
      <c r="H1" s="104"/>
    </row>
    <row r="2" spans="1:8" x14ac:dyDescent="0.3">
      <c r="A2" s="104" t="s">
        <v>133</v>
      </c>
      <c r="B2" s="104"/>
      <c r="C2" s="104"/>
      <c r="D2" s="104"/>
      <c r="E2" s="104"/>
      <c r="F2" s="104"/>
      <c r="G2" s="104"/>
      <c r="H2" s="104"/>
    </row>
    <row r="3" spans="1:8" x14ac:dyDescent="0.3">
      <c r="A3" s="105">
        <v>2018</v>
      </c>
      <c r="B3" s="105"/>
      <c r="C3" s="105"/>
      <c r="D3" s="105"/>
      <c r="E3" s="105"/>
      <c r="F3" s="105"/>
      <c r="G3" s="105"/>
      <c r="H3" s="105"/>
    </row>
    <row r="5" spans="1:8" x14ac:dyDescent="0.3">
      <c r="A5" s="106" t="s">
        <v>0</v>
      </c>
      <c r="B5" s="106" t="s">
        <v>134</v>
      </c>
      <c r="C5" s="106" t="s">
        <v>137</v>
      </c>
      <c r="D5" s="106"/>
      <c r="E5" s="106"/>
      <c r="F5" s="107" t="s">
        <v>139</v>
      </c>
      <c r="G5" s="106" t="s">
        <v>140</v>
      </c>
      <c r="H5" s="106" t="s">
        <v>141</v>
      </c>
    </row>
    <row r="6" spans="1:8" x14ac:dyDescent="0.3">
      <c r="A6" s="106"/>
      <c r="B6" s="106"/>
      <c r="C6" s="31" t="s">
        <v>135</v>
      </c>
      <c r="D6" s="31" t="s">
        <v>136</v>
      </c>
      <c r="E6" s="31" t="s">
        <v>138</v>
      </c>
      <c r="F6" s="107"/>
      <c r="G6" s="106"/>
      <c r="H6" s="106"/>
    </row>
    <row r="7" spans="1:8" x14ac:dyDescent="0.3">
      <c r="A7" s="1">
        <v>1</v>
      </c>
      <c r="B7" s="1" t="s">
        <v>142</v>
      </c>
      <c r="C7" s="1" t="s">
        <v>152</v>
      </c>
      <c r="D7" s="1" t="str">
        <f>MID(B7,4,2)</f>
        <v>23</v>
      </c>
      <c r="E7" s="1" t="str">
        <f>LEFT(B7,2)</f>
        <v>LK</v>
      </c>
      <c r="F7" s="1" t="str">
        <f>RIGHT(B7,3)</f>
        <v>KDM</v>
      </c>
      <c r="G7" s="44">
        <v>2005</v>
      </c>
      <c r="H7" s="1">
        <f>$A$3-G7</f>
        <v>13</v>
      </c>
    </row>
    <row r="8" spans="1:8" x14ac:dyDescent="0.3">
      <c r="A8" s="1">
        <v>2</v>
      </c>
      <c r="B8" s="1" t="s">
        <v>143</v>
      </c>
      <c r="C8" s="1" t="s">
        <v>153</v>
      </c>
      <c r="D8" s="1" t="str">
        <f t="shared" ref="D8:D16" si="0">MID(B8,4,2)</f>
        <v>30</v>
      </c>
      <c r="E8" s="1" t="str">
        <f t="shared" ref="E8:E16" si="1">LEFT(B8,2)</f>
        <v>PR</v>
      </c>
      <c r="F8" s="1" t="str">
        <f t="shared" ref="F8:F16" si="2">RIGHT(B8,3)</f>
        <v>IUD</v>
      </c>
      <c r="G8" s="44">
        <v>2005</v>
      </c>
      <c r="H8" s="1">
        <f t="shared" ref="H8:H16" si="3">$A$3-G8</f>
        <v>13</v>
      </c>
    </row>
    <row r="9" spans="1:8" x14ac:dyDescent="0.3">
      <c r="A9" s="1">
        <v>3</v>
      </c>
      <c r="B9" s="1" t="s">
        <v>144</v>
      </c>
      <c r="C9" s="1" t="s">
        <v>154</v>
      </c>
      <c r="D9" s="1" t="str">
        <f t="shared" si="0"/>
        <v>27</v>
      </c>
      <c r="E9" s="1" t="str">
        <f t="shared" si="1"/>
        <v>PR</v>
      </c>
      <c r="F9" s="1" t="str">
        <f t="shared" si="2"/>
        <v>PIL</v>
      </c>
      <c r="G9" s="44">
        <v>2004</v>
      </c>
      <c r="H9" s="1">
        <f t="shared" si="3"/>
        <v>14</v>
      </c>
    </row>
    <row r="10" spans="1:8" x14ac:dyDescent="0.3">
      <c r="A10" s="1">
        <v>4</v>
      </c>
      <c r="B10" s="1" t="s">
        <v>145</v>
      </c>
      <c r="C10" s="1" t="s">
        <v>155</v>
      </c>
      <c r="D10" s="1" t="str">
        <f t="shared" si="0"/>
        <v>23</v>
      </c>
      <c r="E10" s="1" t="str">
        <f t="shared" si="1"/>
        <v>LK</v>
      </c>
      <c r="F10" s="1" t="str">
        <f t="shared" si="2"/>
        <v>MOW</v>
      </c>
      <c r="G10" s="44">
        <v>2006</v>
      </c>
      <c r="H10" s="1">
        <f t="shared" si="3"/>
        <v>12</v>
      </c>
    </row>
    <row r="11" spans="1:8" x14ac:dyDescent="0.3">
      <c r="A11" s="1">
        <v>5</v>
      </c>
      <c r="B11" s="1" t="s">
        <v>146</v>
      </c>
      <c r="C11" s="1" t="s">
        <v>160</v>
      </c>
      <c r="D11" s="1" t="str">
        <f t="shared" si="0"/>
        <v>29</v>
      </c>
      <c r="E11" s="1" t="str">
        <f t="shared" si="1"/>
        <v>PR</v>
      </c>
      <c r="F11" s="1" t="str">
        <f t="shared" si="2"/>
        <v>IUD</v>
      </c>
      <c r="G11" s="44">
        <v>2000</v>
      </c>
      <c r="H11" s="1">
        <f t="shared" si="3"/>
        <v>18</v>
      </c>
    </row>
    <row r="12" spans="1:8" x14ac:dyDescent="0.3">
      <c r="A12" s="1">
        <v>6</v>
      </c>
      <c r="B12" s="1" t="s">
        <v>147</v>
      </c>
      <c r="C12" s="1" t="s">
        <v>156</v>
      </c>
      <c r="D12" s="1" t="str">
        <f t="shared" si="0"/>
        <v>25</v>
      </c>
      <c r="E12" s="1" t="str">
        <f t="shared" si="1"/>
        <v>PR</v>
      </c>
      <c r="F12" s="1" t="str">
        <f t="shared" si="2"/>
        <v>STK</v>
      </c>
      <c r="G12" s="44">
        <v>2003</v>
      </c>
      <c r="H12" s="1">
        <f t="shared" si="3"/>
        <v>15</v>
      </c>
    </row>
    <row r="13" spans="1:8" x14ac:dyDescent="0.3">
      <c r="A13" s="1">
        <v>7</v>
      </c>
      <c r="B13" s="1" t="s">
        <v>148</v>
      </c>
      <c r="C13" s="1" t="s">
        <v>157</v>
      </c>
      <c r="D13" s="1" t="str">
        <f t="shared" si="0"/>
        <v>19</v>
      </c>
      <c r="E13" s="1" t="str">
        <f t="shared" si="1"/>
        <v>PR</v>
      </c>
      <c r="F13" s="1" t="str">
        <f t="shared" si="2"/>
        <v>SSK</v>
      </c>
      <c r="G13" s="44">
        <v>2005</v>
      </c>
      <c r="H13" s="1">
        <f t="shared" si="3"/>
        <v>13</v>
      </c>
    </row>
    <row r="14" spans="1:8" x14ac:dyDescent="0.3">
      <c r="A14" s="1">
        <v>8</v>
      </c>
      <c r="B14" s="1" t="s">
        <v>149</v>
      </c>
      <c r="C14" s="1" t="s">
        <v>158</v>
      </c>
      <c r="D14" s="1" t="str">
        <f t="shared" si="0"/>
        <v>26</v>
      </c>
      <c r="E14" s="1" t="str">
        <f t="shared" si="1"/>
        <v>LK</v>
      </c>
      <c r="F14" s="1" t="str">
        <f t="shared" si="2"/>
        <v>KDM</v>
      </c>
      <c r="G14" s="44">
        <v>2005</v>
      </c>
      <c r="H14" s="1">
        <f t="shared" si="3"/>
        <v>13</v>
      </c>
    </row>
    <row r="15" spans="1:8" x14ac:dyDescent="0.3">
      <c r="A15" s="1">
        <v>9</v>
      </c>
      <c r="B15" s="1" t="s">
        <v>150</v>
      </c>
      <c r="C15" s="1" t="s">
        <v>159</v>
      </c>
      <c r="D15" s="1" t="str">
        <f t="shared" si="0"/>
        <v>42</v>
      </c>
      <c r="E15" s="1" t="str">
        <f t="shared" si="1"/>
        <v>LK</v>
      </c>
      <c r="F15" s="1" t="str">
        <f t="shared" si="2"/>
        <v>MOW</v>
      </c>
      <c r="G15" s="44">
        <v>1999</v>
      </c>
      <c r="H15" s="1">
        <f t="shared" si="3"/>
        <v>19</v>
      </c>
    </row>
    <row r="16" spans="1:8" x14ac:dyDescent="0.3">
      <c r="A16" s="1">
        <v>10</v>
      </c>
      <c r="B16" s="1" t="s">
        <v>151</v>
      </c>
      <c r="C16" s="1" t="s">
        <v>161</v>
      </c>
      <c r="D16" s="1" t="str">
        <f t="shared" si="0"/>
        <v>28</v>
      </c>
      <c r="E16" s="1" t="str">
        <f t="shared" si="1"/>
        <v>PR</v>
      </c>
      <c r="F16" s="1" t="str">
        <f t="shared" si="2"/>
        <v>PIL</v>
      </c>
      <c r="G16" s="44">
        <v>2000</v>
      </c>
      <c r="H16" s="1">
        <f t="shared" si="3"/>
        <v>18</v>
      </c>
    </row>
  </sheetData>
  <mergeCells count="9">
    <mergeCell ref="A1:H1"/>
    <mergeCell ref="A2:H2"/>
    <mergeCell ref="A3:H3"/>
    <mergeCell ref="A5:A6"/>
    <mergeCell ref="B5:B6"/>
    <mergeCell ref="C5:E5"/>
    <mergeCell ref="F5:F6"/>
    <mergeCell ref="G5:G6"/>
    <mergeCell ref="H5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148F-DE11-46AD-A639-6607A1C5ED76}">
  <dimension ref="B2:E10"/>
  <sheetViews>
    <sheetView workbookViewId="0">
      <selection activeCell="E5" sqref="E5"/>
    </sheetView>
  </sheetViews>
  <sheetFormatPr defaultRowHeight="14.4" x14ac:dyDescent="0.3"/>
  <cols>
    <col min="4" max="4" width="24.21875" customWidth="1"/>
    <col min="5" max="5" width="20.77734375" customWidth="1"/>
  </cols>
  <sheetData>
    <row r="2" spans="2:5" x14ac:dyDescent="0.3">
      <c r="B2" s="27" t="s">
        <v>162</v>
      </c>
      <c r="C2" s="27" t="s">
        <v>163</v>
      </c>
      <c r="D2" s="27" t="s">
        <v>167</v>
      </c>
      <c r="E2" s="27" t="s">
        <v>168</v>
      </c>
    </row>
    <row r="3" spans="2:5" x14ac:dyDescent="0.3">
      <c r="B3" s="2" t="s">
        <v>90</v>
      </c>
      <c r="C3" s="2" t="s">
        <v>164</v>
      </c>
      <c r="D3" s="2" t="s">
        <v>165</v>
      </c>
      <c r="E3" s="2" t="s">
        <v>166</v>
      </c>
    </row>
    <row r="4" spans="2:5" x14ac:dyDescent="0.3">
      <c r="B4" s="2">
        <v>1</v>
      </c>
      <c r="C4" s="2" t="s">
        <v>169</v>
      </c>
      <c r="D4" s="2" t="str">
        <f>IF(C4="AA","Database",IF(C4="AB","Miscrosoft Excel"))</f>
        <v>Database</v>
      </c>
      <c r="E4" s="2" t="str">
        <f>IF(D4="Database","Yogiyanto",IF(D4="Miscrosoft Excel","Nala Hayati"))</f>
        <v>Yogiyanto</v>
      </c>
    </row>
    <row r="5" spans="2:5" x14ac:dyDescent="0.3">
      <c r="B5" s="2">
        <v>2</v>
      </c>
      <c r="C5" s="2" t="s">
        <v>170</v>
      </c>
      <c r="D5" s="2" t="str">
        <f>IF(C5="AA","Database",IF(C5="AB","Miscrosoft Excel"))</f>
        <v>Miscrosoft Excel</v>
      </c>
      <c r="E5" s="2" t="str">
        <f>IF(D5="Database","Yogiyanto",IF(D5="Miscrosoft Excel","Nala Hayati"))</f>
        <v>Nala Hayati</v>
      </c>
    </row>
    <row r="7" spans="2:5" x14ac:dyDescent="0.3">
      <c r="B7" t="s">
        <v>171</v>
      </c>
    </row>
    <row r="8" spans="2:5" x14ac:dyDescent="0.3">
      <c r="B8" t="s">
        <v>172</v>
      </c>
    </row>
    <row r="9" spans="2:5" x14ac:dyDescent="0.3">
      <c r="B9" t="s">
        <v>173</v>
      </c>
    </row>
    <row r="10" spans="2:5" x14ac:dyDescent="0.3">
      <c r="B10" t="s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E0F2-986C-4D59-9947-9EFF16FFCCD6}">
  <dimension ref="B2:K13"/>
  <sheetViews>
    <sheetView workbookViewId="0">
      <selection activeCell="K9" sqref="K9"/>
    </sheetView>
  </sheetViews>
  <sheetFormatPr defaultRowHeight="14.4" x14ac:dyDescent="0.3"/>
  <cols>
    <col min="1" max="2" width="3.6640625" bestFit="1" customWidth="1"/>
    <col min="3" max="3" width="11.5546875" customWidth="1"/>
    <col min="4" max="4" width="5.88671875" bestFit="1" customWidth="1"/>
    <col min="5" max="5" width="6.44140625" bestFit="1" customWidth="1"/>
    <col min="6" max="6" width="6" bestFit="1" customWidth="1"/>
    <col min="7" max="7" width="4.33203125" bestFit="1" customWidth="1"/>
    <col min="8" max="8" width="10.33203125" bestFit="1" customWidth="1"/>
    <col min="9" max="9" width="10.88671875" bestFit="1" customWidth="1"/>
    <col min="10" max="10" width="16.88671875" bestFit="1" customWidth="1"/>
    <col min="11" max="11" width="12.21875" bestFit="1" customWidth="1"/>
  </cols>
  <sheetData>
    <row r="2" spans="2:11" x14ac:dyDescent="0.3">
      <c r="B2" s="108" t="s">
        <v>0</v>
      </c>
      <c r="C2" s="109" t="s">
        <v>2</v>
      </c>
      <c r="D2" s="108" t="s">
        <v>175</v>
      </c>
      <c r="E2" s="108"/>
      <c r="F2" s="108"/>
      <c r="G2" s="108"/>
      <c r="H2" s="108" t="s">
        <v>180</v>
      </c>
      <c r="I2" s="108"/>
      <c r="J2" s="108"/>
      <c r="K2" s="110" t="s">
        <v>184</v>
      </c>
    </row>
    <row r="3" spans="2:11" x14ac:dyDescent="0.3">
      <c r="B3" s="108"/>
      <c r="C3" s="109"/>
      <c r="D3" s="47" t="s">
        <v>176</v>
      </c>
      <c r="E3" s="47" t="s">
        <v>177</v>
      </c>
      <c r="F3" s="47" t="s">
        <v>178</v>
      </c>
      <c r="G3" s="47" t="s">
        <v>179</v>
      </c>
      <c r="H3" s="47" t="s">
        <v>181</v>
      </c>
      <c r="I3" s="47" t="s">
        <v>182</v>
      </c>
      <c r="J3" s="47" t="s">
        <v>183</v>
      </c>
      <c r="K3" s="111"/>
    </row>
    <row r="4" spans="2:11" x14ac:dyDescent="0.3">
      <c r="B4" s="5">
        <v>1</v>
      </c>
      <c r="C4" s="5" t="s">
        <v>185</v>
      </c>
      <c r="D4" s="5">
        <v>75</v>
      </c>
      <c r="E4" s="5">
        <v>85</v>
      </c>
      <c r="F4" s="5">
        <v>85</v>
      </c>
      <c r="G4" s="5">
        <v>87</v>
      </c>
      <c r="H4" s="5">
        <f>AVERAGE(D4:G4)</f>
        <v>83</v>
      </c>
      <c r="I4" s="5" t="str">
        <f>IF(H4&lt;=59,"E",IF(H4&lt;=69,"D",IF(H4&lt;=79,"C",IF(H4&lt;=89,"B","A"))))</f>
        <v>B</v>
      </c>
      <c r="J4" s="5" t="str">
        <f>IF(I4="E","Kurang",IF(I4="D","Cukup",IF(I4="C","Baik",IF(I4="B","Memuaskan","Sangat Memuaskan"))))</f>
        <v>Memuaskan</v>
      </c>
      <c r="K4" s="5" t="str">
        <f>IF(H4&gt;=60,"Lulus","Tidak Lulus")</f>
        <v>Lulus</v>
      </c>
    </row>
    <row r="5" spans="2:11" x14ac:dyDescent="0.3">
      <c r="B5" s="5">
        <v>2</v>
      </c>
      <c r="C5" s="5" t="s">
        <v>186</v>
      </c>
      <c r="D5" s="5">
        <v>85</v>
      </c>
      <c r="E5" s="5">
        <v>89</v>
      </c>
      <c r="F5" s="5">
        <v>86</v>
      </c>
      <c r="G5" s="5">
        <v>89</v>
      </c>
      <c r="H5" s="5">
        <f t="shared" ref="H5:H13" si="0">AVERAGE(D5:G5)</f>
        <v>87.25</v>
      </c>
      <c r="I5" s="5" t="str">
        <f t="shared" ref="I5:I13" si="1">IF(H5&lt;=59,"E",IF(H5&lt;=69,"D",IF(H5&lt;=79,"C",IF(H5&lt;=89,"B","A"))))</f>
        <v>B</v>
      </c>
      <c r="J5" s="5" t="str">
        <f t="shared" ref="J5:J13" si="2">IF(I5="E","Kurang",IF(I5="D","Cukup",IF(I5="C","Baik",IF(I5="B","Memuaskan","Sangat Memuaskan"))))</f>
        <v>Memuaskan</v>
      </c>
      <c r="K5" s="5" t="str">
        <f t="shared" ref="K5:K13" si="3">IF(H5&gt;=60,"Lulus","Tidak Lulus")</f>
        <v>Lulus</v>
      </c>
    </row>
    <row r="6" spans="2:11" x14ac:dyDescent="0.3">
      <c r="B6" s="5">
        <v>3</v>
      </c>
      <c r="C6" s="5" t="s">
        <v>187</v>
      </c>
      <c r="D6" s="5">
        <v>65</v>
      </c>
      <c r="E6" s="5">
        <v>60</v>
      </c>
      <c r="F6" s="5">
        <v>75</v>
      </c>
      <c r="G6" s="5">
        <v>85</v>
      </c>
      <c r="H6" s="5">
        <f t="shared" si="0"/>
        <v>71.25</v>
      </c>
      <c r="I6" s="5" t="str">
        <f t="shared" si="1"/>
        <v>C</v>
      </c>
      <c r="J6" s="5" t="str">
        <f t="shared" si="2"/>
        <v>Baik</v>
      </c>
      <c r="K6" s="5" t="str">
        <f t="shared" si="3"/>
        <v>Lulus</v>
      </c>
    </row>
    <row r="7" spans="2:11" x14ac:dyDescent="0.3">
      <c r="B7" s="5">
        <v>4</v>
      </c>
      <c r="C7" s="5" t="s">
        <v>188</v>
      </c>
      <c r="D7" s="5">
        <v>45</v>
      </c>
      <c r="E7" s="5">
        <v>50</v>
      </c>
      <c r="F7" s="5">
        <v>55</v>
      </c>
      <c r="G7" s="5">
        <v>65</v>
      </c>
      <c r="H7" s="5">
        <f t="shared" si="0"/>
        <v>53.75</v>
      </c>
      <c r="I7" s="5" t="str">
        <f t="shared" si="1"/>
        <v>E</v>
      </c>
      <c r="J7" s="5" t="str">
        <f t="shared" si="2"/>
        <v>Kurang</v>
      </c>
      <c r="K7" s="5" t="str">
        <f t="shared" si="3"/>
        <v>Tidak Lulus</v>
      </c>
    </row>
    <row r="8" spans="2:11" x14ac:dyDescent="0.3">
      <c r="B8" s="5">
        <v>5</v>
      </c>
      <c r="C8" s="5" t="s">
        <v>189</v>
      </c>
      <c r="D8" s="5">
        <v>65</v>
      </c>
      <c r="E8" s="5">
        <v>75</v>
      </c>
      <c r="F8" s="5">
        <v>69</v>
      </c>
      <c r="G8" s="5">
        <v>75</v>
      </c>
      <c r="H8" s="5">
        <f t="shared" si="0"/>
        <v>71</v>
      </c>
      <c r="I8" s="5" t="str">
        <f t="shared" si="1"/>
        <v>C</v>
      </c>
      <c r="J8" s="5" t="str">
        <f t="shared" si="2"/>
        <v>Baik</v>
      </c>
      <c r="K8" s="5" t="str">
        <f t="shared" si="3"/>
        <v>Lulus</v>
      </c>
    </row>
    <row r="9" spans="2:11" x14ac:dyDescent="0.3">
      <c r="B9" s="5">
        <v>6</v>
      </c>
      <c r="C9" s="5" t="s">
        <v>190</v>
      </c>
      <c r="D9" s="5">
        <v>55</v>
      </c>
      <c r="E9" s="5">
        <v>68</v>
      </c>
      <c r="F9" s="5">
        <v>65</v>
      </c>
      <c r="G9" s="5">
        <v>54</v>
      </c>
      <c r="H9" s="5">
        <f t="shared" si="0"/>
        <v>60.5</v>
      </c>
      <c r="I9" s="5" t="str">
        <f t="shared" si="1"/>
        <v>D</v>
      </c>
      <c r="J9" s="5" t="str">
        <f t="shared" si="2"/>
        <v>Cukup</v>
      </c>
      <c r="K9" s="5" t="str">
        <f t="shared" si="3"/>
        <v>Lulus</v>
      </c>
    </row>
    <row r="10" spans="2:11" x14ac:dyDescent="0.3">
      <c r="B10" s="5">
        <v>7</v>
      </c>
      <c r="C10" s="5" t="s">
        <v>191</v>
      </c>
      <c r="D10" s="5">
        <v>85</v>
      </c>
      <c r="E10" s="5">
        <v>88</v>
      </c>
      <c r="F10" s="5">
        <v>87</v>
      </c>
      <c r="G10" s="5">
        <v>85</v>
      </c>
      <c r="H10" s="5">
        <f t="shared" si="0"/>
        <v>86.25</v>
      </c>
      <c r="I10" s="5" t="str">
        <f t="shared" si="1"/>
        <v>B</v>
      </c>
      <c r="J10" s="5" t="str">
        <f t="shared" si="2"/>
        <v>Memuaskan</v>
      </c>
      <c r="K10" s="5" t="str">
        <f t="shared" si="3"/>
        <v>Lulus</v>
      </c>
    </row>
    <row r="11" spans="2:11" x14ac:dyDescent="0.3">
      <c r="B11" s="5">
        <v>8</v>
      </c>
      <c r="C11" s="5" t="s">
        <v>192</v>
      </c>
      <c r="D11" s="5">
        <v>90</v>
      </c>
      <c r="E11" s="5">
        <v>92</v>
      </c>
      <c r="F11" s="5">
        <v>96</v>
      </c>
      <c r="G11" s="5">
        <v>90</v>
      </c>
      <c r="H11" s="5">
        <f t="shared" si="0"/>
        <v>92</v>
      </c>
      <c r="I11" s="5" t="str">
        <f t="shared" si="1"/>
        <v>A</v>
      </c>
      <c r="J11" s="5" t="str">
        <f t="shared" si="2"/>
        <v>Sangat Memuaskan</v>
      </c>
      <c r="K11" s="5" t="str">
        <f t="shared" si="3"/>
        <v>Lulus</v>
      </c>
    </row>
    <row r="12" spans="2:11" x14ac:dyDescent="0.3">
      <c r="B12" s="5">
        <v>9</v>
      </c>
      <c r="C12" s="5" t="s">
        <v>193</v>
      </c>
      <c r="D12" s="5">
        <v>56</v>
      </c>
      <c r="E12" s="5">
        <v>60</v>
      </c>
      <c r="F12" s="5">
        <v>60</v>
      </c>
      <c r="G12" s="5">
        <v>33</v>
      </c>
      <c r="H12" s="5">
        <f t="shared" si="0"/>
        <v>52.25</v>
      </c>
      <c r="I12" s="5" t="str">
        <f t="shared" si="1"/>
        <v>E</v>
      </c>
      <c r="J12" s="5" t="str">
        <f t="shared" si="2"/>
        <v>Kurang</v>
      </c>
      <c r="K12" s="5" t="str">
        <f t="shared" si="3"/>
        <v>Tidak Lulus</v>
      </c>
    </row>
    <row r="13" spans="2:11" x14ac:dyDescent="0.3">
      <c r="B13" s="5">
        <v>10</v>
      </c>
      <c r="C13" s="5" t="s">
        <v>194</v>
      </c>
      <c r="D13" s="5">
        <v>62</v>
      </c>
      <c r="E13" s="5">
        <v>75</v>
      </c>
      <c r="F13" s="5">
        <v>76</v>
      </c>
      <c r="G13" s="5">
        <v>56</v>
      </c>
      <c r="H13" s="5">
        <f t="shared" si="0"/>
        <v>67.25</v>
      </c>
      <c r="I13" s="5" t="str">
        <f t="shared" si="1"/>
        <v>D</v>
      </c>
      <c r="J13" s="5" t="str">
        <f t="shared" si="2"/>
        <v>Cukup</v>
      </c>
      <c r="K13" s="5" t="str">
        <f t="shared" si="3"/>
        <v>Lulus</v>
      </c>
    </row>
  </sheetData>
  <mergeCells count="5">
    <mergeCell ref="B2:B3"/>
    <mergeCell ref="C2:C3"/>
    <mergeCell ref="D2:G2"/>
    <mergeCell ref="H2:J2"/>
    <mergeCell ref="K2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2933-1E1A-4DE7-B6E0-BF1A311ED999}">
  <dimension ref="B2:K10"/>
  <sheetViews>
    <sheetView topLeftCell="KT1" workbookViewId="0">
      <selection activeCell="G5" sqref="G5"/>
    </sheetView>
  </sheetViews>
  <sheetFormatPr defaultRowHeight="14.4" x14ac:dyDescent="0.3"/>
  <cols>
    <col min="2" max="9" width="11" customWidth="1"/>
    <col min="10" max="10" width="9.77734375" customWidth="1"/>
    <col min="11" max="11" width="10.88671875" bestFit="1" customWidth="1"/>
  </cols>
  <sheetData>
    <row r="2" spans="2:11" x14ac:dyDescent="0.3">
      <c r="B2" s="108" t="s">
        <v>195</v>
      </c>
      <c r="C2" s="108" t="s">
        <v>196</v>
      </c>
      <c r="D2" s="108" t="s">
        <v>197</v>
      </c>
      <c r="E2" s="108" t="s">
        <v>198</v>
      </c>
      <c r="F2" s="108"/>
      <c r="G2" s="108"/>
      <c r="H2" s="108" t="s">
        <v>75</v>
      </c>
      <c r="I2" s="108" t="s">
        <v>202</v>
      </c>
      <c r="J2" s="108"/>
      <c r="K2" s="109" t="s">
        <v>204</v>
      </c>
    </row>
    <row r="3" spans="2:11" x14ac:dyDescent="0.3">
      <c r="B3" s="108"/>
      <c r="C3" s="108"/>
      <c r="D3" s="108"/>
      <c r="E3" s="47" t="s">
        <v>199</v>
      </c>
      <c r="F3" s="47" t="s">
        <v>200</v>
      </c>
      <c r="G3" s="47" t="s">
        <v>201</v>
      </c>
      <c r="H3" s="108"/>
      <c r="I3" s="47" t="s">
        <v>203</v>
      </c>
      <c r="J3" s="47" t="s">
        <v>74</v>
      </c>
      <c r="K3" s="109"/>
    </row>
    <row r="4" spans="2:11" x14ac:dyDescent="0.3">
      <c r="B4" s="5">
        <v>1</v>
      </c>
      <c r="C4" s="5" t="s">
        <v>205</v>
      </c>
      <c r="D4" s="5" t="s">
        <v>212</v>
      </c>
      <c r="E4" s="45">
        <f>IF(D4="A1",250000,IF(D4="A2",325000,IF(D4="A3",350000)))</f>
        <v>250000</v>
      </c>
      <c r="F4" s="45">
        <f>IF(D4="A1",175000,IF(D4="A2",275000,IF(D4="A3",350000)))</f>
        <v>175000</v>
      </c>
      <c r="G4" s="45">
        <v>125000</v>
      </c>
      <c r="H4" s="46">
        <f>E4+F4+G4</f>
        <v>550000</v>
      </c>
      <c r="I4" s="45">
        <f>IF(D4="A1",2.5%*E4,IF(D4="A2",2.7%*E4,IF(D4="A3",2.8%*E4)))</f>
        <v>6250</v>
      </c>
      <c r="J4" s="45">
        <f>IF(D4="A1",1.5%*E4,IF(D4="A2",1.6%*E4,IF(D4="A3",1.7%*E4)))</f>
        <v>3750</v>
      </c>
      <c r="K4" s="46">
        <f>H4-I4-J4</f>
        <v>540000</v>
      </c>
    </row>
    <row r="5" spans="2:11" x14ac:dyDescent="0.3">
      <c r="B5" s="5">
        <v>2</v>
      </c>
      <c r="C5" s="5" t="s">
        <v>206</v>
      </c>
      <c r="D5" s="5" t="s">
        <v>213</v>
      </c>
      <c r="E5" s="45">
        <f t="shared" ref="E5:E10" si="0">IF(D5="A1",250000,IF(D5="A2",325000,IF(D5="A3",350000)))</f>
        <v>350000</v>
      </c>
      <c r="F5" s="45">
        <f t="shared" ref="F5:F10" si="1">IF(D5="A1",175000,IF(D5="A2",275000,IF(D5="A3",350000)))</f>
        <v>350000</v>
      </c>
      <c r="G5" s="45">
        <v>125000</v>
      </c>
      <c r="H5" s="46">
        <f t="shared" ref="H5:H10" si="2">E5+F5+G5</f>
        <v>825000</v>
      </c>
      <c r="I5" s="45">
        <f t="shared" ref="I5:I10" si="3">IF(D5="A1",2.5%*E5,IF(D5="A2",2.7%*E5,IF(D5="A3",2.8%*E5)))</f>
        <v>9799.9999999999982</v>
      </c>
      <c r="J5" s="45">
        <f t="shared" ref="J5:J10" si="4">IF(D5="A1",1.5%*E5,IF(D5="A2",1.6%*E5,IF(D5="A3",1.7%*E5)))</f>
        <v>5950</v>
      </c>
      <c r="K5" s="46">
        <f t="shared" ref="K5:K10" si="5">H5-I5-J5</f>
        <v>809250</v>
      </c>
    </row>
    <row r="6" spans="2:11" x14ac:dyDescent="0.3">
      <c r="B6" s="5">
        <v>3</v>
      </c>
      <c r="C6" s="5" t="s">
        <v>207</v>
      </c>
      <c r="D6" s="5" t="s">
        <v>214</v>
      </c>
      <c r="E6" s="45">
        <f t="shared" si="0"/>
        <v>325000</v>
      </c>
      <c r="F6" s="45">
        <f t="shared" si="1"/>
        <v>275000</v>
      </c>
      <c r="G6" s="45">
        <v>125000</v>
      </c>
      <c r="H6" s="46">
        <f t="shared" si="2"/>
        <v>725000</v>
      </c>
      <c r="I6" s="45">
        <f t="shared" si="3"/>
        <v>8775.0000000000018</v>
      </c>
      <c r="J6" s="45">
        <f t="shared" si="4"/>
        <v>5200</v>
      </c>
      <c r="K6" s="46">
        <f t="shared" si="5"/>
        <v>711025</v>
      </c>
    </row>
    <row r="7" spans="2:11" x14ac:dyDescent="0.3">
      <c r="B7" s="5">
        <v>4</v>
      </c>
      <c r="C7" s="5" t="s">
        <v>208</v>
      </c>
      <c r="D7" s="5" t="s">
        <v>212</v>
      </c>
      <c r="E7" s="45">
        <f t="shared" si="0"/>
        <v>250000</v>
      </c>
      <c r="F7" s="45">
        <f t="shared" si="1"/>
        <v>175000</v>
      </c>
      <c r="G7" s="45">
        <v>125000</v>
      </c>
      <c r="H7" s="46">
        <f t="shared" si="2"/>
        <v>550000</v>
      </c>
      <c r="I7" s="45">
        <f t="shared" si="3"/>
        <v>6250</v>
      </c>
      <c r="J7" s="45">
        <f t="shared" si="4"/>
        <v>3750</v>
      </c>
      <c r="K7" s="46">
        <f t="shared" si="5"/>
        <v>540000</v>
      </c>
    </row>
    <row r="8" spans="2:11" x14ac:dyDescent="0.3">
      <c r="B8" s="5">
        <v>5</v>
      </c>
      <c r="C8" s="5" t="s">
        <v>209</v>
      </c>
      <c r="D8" s="5" t="s">
        <v>214</v>
      </c>
      <c r="E8" s="45">
        <f t="shared" si="0"/>
        <v>325000</v>
      </c>
      <c r="F8" s="45">
        <f t="shared" si="1"/>
        <v>275000</v>
      </c>
      <c r="G8" s="45">
        <v>125000</v>
      </c>
      <c r="H8" s="46">
        <f t="shared" si="2"/>
        <v>725000</v>
      </c>
      <c r="I8" s="45">
        <f t="shared" si="3"/>
        <v>8775.0000000000018</v>
      </c>
      <c r="J8" s="45">
        <f t="shared" si="4"/>
        <v>5200</v>
      </c>
      <c r="K8" s="46">
        <f t="shared" si="5"/>
        <v>711025</v>
      </c>
    </row>
    <row r="9" spans="2:11" x14ac:dyDescent="0.3">
      <c r="B9" s="5">
        <v>6</v>
      </c>
      <c r="C9" s="5" t="s">
        <v>210</v>
      </c>
      <c r="D9" s="5" t="s">
        <v>213</v>
      </c>
      <c r="E9" s="45">
        <f t="shared" si="0"/>
        <v>350000</v>
      </c>
      <c r="F9" s="45">
        <f t="shared" si="1"/>
        <v>350000</v>
      </c>
      <c r="G9" s="45">
        <v>125000</v>
      </c>
      <c r="H9" s="46">
        <f t="shared" si="2"/>
        <v>825000</v>
      </c>
      <c r="I9" s="45">
        <f t="shared" si="3"/>
        <v>9799.9999999999982</v>
      </c>
      <c r="J9" s="45">
        <f t="shared" si="4"/>
        <v>5950</v>
      </c>
      <c r="K9" s="46">
        <f t="shared" si="5"/>
        <v>809250</v>
      </c>
    </row>
    <row r="10" spans="2:11" x14ac:dyDescent="0.3">
      <c r="B10" s="5">
        <v>7</v>
      </c>
      <c r="C10" s="5" t="s">
        <v>211</v>
      </c>
      <c r="D10" s="5" t="s">
        <v>214</v>
      </c>
      <c r="E10" s="45">
        <f t="shared" si="0"/>
        <v>325000</v>
      </c>
      <c r="F10" s="45">
        <f t="shared" si="1"/>
        <v>275000</v>
      </c>
      <c r="G10" s="45">
        <v>125000</v>
      </c>
      <c r="H10" s="46">
        <f t="shared" si="2"/>
        <v>725000</v>
      </c>
      <c r="I10" s="45">
        <f t="shared" si="3"/>
        <v>8775.0000000000018</v>
      </c>
      <c r="J10" s="45">
        <f t="shared" si="4"/>
        <v>5200</v>
      </c>
      <c r="K10" s="46">
        <f t="shared" si="5"/>
        <v>711025</v>
      </c>
    </row>
  </sheetData>
  <mergeCells count="7">
    <mergeCell ref="K2:K3"/>
    <mergeCell ref="B2:B3"/>
    <mergeCell ref="C2:C3"/>
    <mergeCell ref="D2:D3"/>
    <mergeCell ref="E2:G2"/>
    <mergeCell ref="H2:H3"/>
    <mergeCell ref="I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FBC0-E0A8-4EE7-B176-657FAF720B85}">
  <dimension ref="A1:D15"/>
  <sheetViews>
    <sheetView workbookViewId="0">
      <selection activeCell="D5" sqref="D5"/>
    </sheetView>
  </sheetViews>
  <sheetFormatPr defaultRowHeight="14.4" x14ac:dyDescent="0.3"/>
  <cols>
    <col min="2" max="2" width="10.33203125" bestFit="1" customWidth="1"/>
    <col min="3" max="3" width="12.44140625" bestFit="1" customWidth="1"/>
    <col min="4" max="4" width="16.21875" customWidth="1"/>
  </cols>
  <sheetData>
    <row r="1" spans="1:4" x14ac:dyDescent="0.3">
      <c r="A1" t="s">
        <v>224</v>
      </c>
    </row>
    <row r="3" spans="1:4" x14ac:dyDescent="0.3">
      <c r="B3" t="s">
        <v>215</v>
      </c>
    </row>
    <row r="4" spans="1:4" x14ac:dyDescent="0.3">
      <c r="B4" s="2" t="s">
        <v>216</v>
      </c>
      <c r="C4" s="2" t="s">
        <v>217</v>
      </c>
      <c r="D4" s="2" t="s">
        <v>124</v>
      </c>
    </row>
    <row r="5" spans="1:4" x14ac:dyDescent="0.3">
      <c r="B5" s="1" t="s">
        <v>218</v>
      </c>
      <c r="C5" s="1" t="s">
        <v>225</v>
      </c>
      <c r="D5" s="1" t="str">
        <f>IF(AND(B5="FULL",C5="LUNAS"),"UJIAN","TIDAK UJIAN")</f>
        <v>UJIAN</v>
      </c>
    </row>
    <row r="6" spans="1:4" x14ac:dyDescent="0.3">
      <c r="B6" s="1" t="s">
        <v>219</v>
      </c>
      <c r="C6" s="1" t="s">
        <v>225</v>
      </c>
      <c r="D6" s="1" t="str">
        <f t="shared" ref="D6:D8" si="0">IF(AND(B6="FULL",C6="LUNAS"),"UJIAN","TIDAK UJIAN")</f>
        <v>TIDAK UJIAN</v>
      </c>
    </row>
    <row r="7" spans="1:4" x14ac:dyDescent="0.3">
      <c r="B7" s="1" t="s">
        <v>218</v>
      </c>
      <c r="C7" s="1" t="s">
        <v>220</v>
      </c>
      <c r="D7" s="1" t="str">
        <f t="shared" si="0"/>
        <v>TIDAK UJIAN</v>
      </c>
    </row>
    <row r="8" spans="1:4" x14ac:dyDescent="0.3">
      <c r="B8" s="1" t="s">
        <v>219</v>
      </c>
      <c r="C8" s="1" t="s">
        <v>220</v>
      </c>
      <c r="D8" s="1" t="str">
        <f t="shared" si="0"/>
        <v>TIDAK UJIAN</v>
      </c>
    </row>
    <row r="10" spans="1:4" x14ac:dyDescent="0.3">
      <c r="B10" t="s">
        <v>221</v>
      </c>
    </row>
    <row r="11" spans="1:4" x14ac:dyDescent="0.3">
      <c r="B11" s="2" t="s">
        <v>216</v>
      </c>
      <c r="C11" s="2" t="s">
        <v>217</v>
      </c>
      <c r="D11" s="2" t="s">
        <v>124</v>
      </c>
    </row>
    <row r="12" spans="1:4" x14ac:dyDescent="0.3">
      <c r="B12" s="1" t="s">
        <v>218</v>
      </c>
      <c r="C12" s="1" t="s">
        <v>225</v>
      </c>
      <c r="D12" s="1" t="str">
        <f>IF(OR(B12="FULL",C12="LUNAS"),"UJIAN","TIDAK UJIAN")</f>
        <v>UJIAN</v>
      </c>
    </row>
    <row r="13" spans="1:4" x14ac:dyDescent="0.3">
      <c r="B13" s="1" t="s">
        <v>219</v>
      </c>
      <c r="C13" s="1" t="s">
        <v>225</v>
      </c>
      <c r="D13" s="1" t="str">
        <f t="shared" ref="D13:D15" si="1">IF(OR(B13="FULL",C13="LUNAS"),"UJIAN","TIDAK UJIAN")</f>
        <v>UJIAN</v>
      </c>
    </row>
    <row r="14" spans="1:4" x14ac:dyDescent="0.3">
      <c r="B14" s="1" t="s">
        <v>218</v>
      </c>
      <c r="C14" s="1" t="s">
        <v>222</v>
      </c>
      <c r="D14" s="1" t="str">
        <f t="shared" si="1"/>
        <v>UJIAN</v>
      </c>
    </row>
    <row r="15" spans="1:4" x14ac:dyDescent="0.3">
      <c r="B15" s="1" t="s">
        <v>219</v>
      </c>
      <c r="C15" s="1" t="s">
        <v>223</v>
      </c>
      <c r="D15" s="1" t="str">
        <f t="shared" si="1"/>
        <v>TIDAK UJIAN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F403-CCC8-405E-8508-477AD417367D}">
  <dimension ref="A1:K12"/>
  <sheetViews>
    <sheetView workbookViewId="0">
      <selection activeCell="D3" sqref="D3"/>
    </sheetView>
  </sheetViews>
  <sheetFormatPr defaultRowHeight="14.4" x14ac:dyDescent="0.3"/>
  <cols>
    <col min="1" max="1" width="3.6640625" bestFit="1" customWidth="1"/>
    <col min="2" max="2" width="14.44140625" bestFit="1" customWidth="1"/>
    <col min="3" max="3" width="22.33203125" bestFit="1" customWidth="1"/>
    <col min="4" max="4" width="9.77734375" bestFit="1" customWidth="1"/>
    <col min="5" max="5" width="20.109375" bestFit="1" customWidth="1"/>
    <col min="6" max="6" width="14.44140625" bestFit="1" customWidth="1"/>
    <col min="7" max="7" width="9.21875" bestFit="1" customWidth="1"/>
    <col min="8" max="8" width="7.5546875" bestFit="1" customWidth="1"/>
    <col min="9" max="9" width="9.21875" bestFit="1" customWidth="1"/>
    <col min="10" max="10" width="12.77734375" customWidth="1"/>
    <col min="11" max="11" width="14.88671875" bestFit="1" customWidth="1"/>
  </cols>
  <sheetData>
    <row r="1" spans="1:11" x14ac:dyDescent="0.3">
      <c r="A1" s="112" t="s">
        <v>0</v>
      </c>
      <c r="B1" s="112" t="s">
        <v>226</v>
      </c>
      <c r="C1" s="112" t="s">
        <v>227</v>
      </c>
      <c r="D1" s="112" t="s">
        <v>228</v>
      </c>
      <c r="E1" s="112" t="s">
        <v>229</v>
      </c>
      <c r="F1" s="112" t="s">
        <v>68</v>
      </c>
      <c r="G1" s="112" t="s">
        <v>180</v>
      </c>
      <c r="H1" s="112"/>
      <c r="I1" s="112" t="s">
        <v>232</v>
      </c>
      <c r="J1" s="112"/>
      <c r="K1" s="112" t="s">
        <v>184</v>
      </c>
    </row>
    <row r="2" spans="1:11" x14ac:dyDescent="0.3">
      <c r="A2" s="112"/>
      <c r="B2" s="112"/>
      <c r="C2" s="112"/>
      <c r="D2" s="112"/>
      <c r="E2" s="112"/>
      <c r="F2" s="112"/>
      <c r="G2" s="50" t="s">
        <v>230</v>
      </c>
      <c r="H2" s="50" t="s">
        <v>231</v>
      </c>
      <c r="I2" s="50" t="s">
        <v>230</v>
      </c>
      <c r="J2" s="50" t="s">
        <v>231</v>
      </c>
      <c r="K2" s="112"/>
    </row>
    <row r="3" spans="1:11" x14ac:dyDescent="0.3">
      <c r="A3" s="5">
        <v>1</v>
      </c>
      <c r="B3" s="5" t="s">
        <v>170</v>
      </c>
      <c r="C3" s="5" t="s">
        <v>236</v>
      </c>
      <c r="D3" s="5">
        <v>24</v>
      </c>
      <c r="E3" s="5" t="str">
        <f>IF(B3="AB","Sarjana Ekonomi",IF(B3="AC","sarjana Komputer",IF(B3="AD","SMEA","pendidikan SMA")))</f>
        <v>Sarjana Ekonomi</v>
      </c>
      <c r="F3" s="5" t="str">
        <f>IF(E3="Sarjana Ekonomi","Staff Accounting",IF(E3="sarjana Komputer","Manager EDP",IF(E3="SMEA","Staff Administrasi","Satpam")))</f>
        <v>Staff Accounting</v>
      </c>
      <c r="G3" s="5">
        <v>65</v>
      </c>
      <c r="H3" s="5">
        <v>30</v>
      </c>
      <c r="I3" s="5" t="str">
        <f>IF(AND(D3&lt;26,D3&gt;20),"Lulus","TidakLulus")</f>
        <v>Lulus</v>
      </c>
      <c r="J3" s="5" t="str">
        <f>IF(OR(G3&gt;60,H3&gt;50),"Lulus","Tidak lulus")</f>
        <v>Lulus</v>
      </c>
      <c r="K3" s="5" t="str">
        <f>IF(AND(I3="Lulus",J3="Lulus"),"Lulus",IF(AND(I3="Tidaklulus",D3&gt;=20),"Dipertimbangkan","Tidak Lulus"))</f>
        <v>Lulus</v>
      </c>
    </row>
    <row r="4" spans="1:11" x14ac:dyDescent="0.3">
      <c r="A4" s="5">
        <v>2</v>
      </c>
      <c r="B4" s="5" t="s">
        <v>233</v>
      </c>
      <c r="C4" s="5" t="s">
        <v>237</v>
      </c>
      <c r="D4" s="5">
        <v>28</v>
      </c>
      <c r="E4" s="5" t="str">
        <f t="shared" ref="E4:E12" si="0">IF(B4="AB","Sarjana Ekonomi",IF(B4="AC","sarjana Komputer",IF(B4="AD","SMEA","pendidikan SMA")))</f>
        <v>sarjana Komputer</v>
      </c>
      <c r="F4" s="5" t="str">
        <f t="shared" ref="F4:F12" si="1">IF(E4="Sarjana Ekonomi","Staff Accounting",IF(E4="sarjana Komputer","Manager EDP",IF(E4="SMEA","Staff Administrasi","Satpam")))</f>
        <v>Manager EDP</v>
      </c>
      <c r="G4" s="5">
        <v>42</v>
      </c>
      <c r="H4" s="5">
        <v>84</v>
      </c>
      <c r="I4" s="5" t="str">
        <f t="shared" ref="I4:I12" si="2">IF(AND(D4&lt;26,D4&gt;20),"Lulus","TidakLulus")</f>
        <v>TidakLulus</v>
      </c>
      <c r="J4" s="5" t="str">
        <f t="shared" ref="J4:J12" si="3">IF(OR(G4&gt;60,H4&gt;50),"Lulus","Tidak lulus")</f>
        <v>Lulus</v>
      </c>
      <c r="K4" s="5" t="str">
        <f t="shared" ref="K4:K12" si="4">IF(AND(I4="Lulus",J4="Lulus"),"Lulus",IF(AND(I4="Tidaklulus",D4&gt;=20),"Dipertimbangkan","Tidak Lulus"))</f>
        <v>Dipertimbangkan</v>
      </c>
    </row>
    <row r="5" spans="1:11" x14ac:dyDescent="0.3">
      <c r="A5" s="5">
        <v>3</v>
      </c>
      <c r="B5" s="5" t="s">
        <v>234</v>
      </c>
      <c r="C5" s="5" t="s">
        <v>238</v>
      </c>
      <c r="D5" s="5">
        <v>19</v>
      </c>
      <c r="E5" s="5" t="str">
        <f t="shared" si="0"/>
        <v>SMEA</v>
      </c>
      <c r="F5" s="5" t="str">
        <f t="shared" si="1"/>
        <v>Staff Administrasi</v>
      </c>
      <c r="G5" s="5">
        <v>45</v>
      </c>
      <c r="H5" s="5">
        <v>22</v>
      </c>
      <c r="I5" s="5" t="str">
        <f t="shared" si="2"/>
        <v>TidakLulus</v>
      </c>
      <c r="J5" s="5" t="str">
        <f t="shared" si="3"/>
        <v>Tidak lulus</v>
      </c>
      <c r="K5" s="5" t="str">
        <f t="shared" si="4"/>
        <v>Tidak Lulus</v>
      </c>
    </row>
    <row r="6" spans="1:11" x14ac:dyDescent="0.3">
      <c r="A6" s="5">
        <v>4</v>
      </c>
      <c r="B6" s="5" t="s">
        <v>170</v>
      </c>
      <c r="C6" s="5" t="s">
        <v>239</v>
      </c>
      <c r="D6" s="5">
        <v>25</v>
      </c>
      <c r="E6" s="5" t="str">
        <f t="shared" si="0"/>
        <v>Sarjana Ekonomi</v>
      </c>
      <c r="F6" s="5" t="str">
        <f t="shared" si="1"/>
        <v>Staff Accounting</v>
      </c>
      <c r="G6" s="5">
        <v>80</v>
      </c>
      <c r="H6" s="5">
        <v>69</v>
      </c>
      <c r="I6" s="5" t="str">
        <f t="shared" si="2"/>
        <v>Lulus</v>
      </c>
      <c r="J6" s="5" t="str">
        <f t="shared" si="3"/>
        <v>Lulus</v>
      </c>
      <c r="K6" s="5" t="str">
        <f t="shared" si="4"/>
        <v>Lulus</v>
      </c>
    </row>
    <row r="7" spans="1:11" x14ac:dyDescent="0.3">
      <c r="A7" s="5">
        <v>5</v>
      </c>
      <c r="B7" s="5" t="s">
        <v>235</v>
      </c>
      <c r="C7" s="5" t="s">
        <v>240</v>
      </c>
      <c r="D7" s="5">
        <v>25</v>
      </c>
      <c r="E7" s="5" t="str">
        <f t="shared" si="0"/>
        <v>pendidikan SMA</v>
      </c>
      <c r="F7" s="5" t="str">
        <f t="shared" si="1"/>
        <v>Satpam</v>
      </c>
      <c r="G7" s="5">
        <v>61</v>
      </c>
      <c r="H7" s="5">
        <v>36</v>
      </c>
      <c r="I7" s="5" t="str">
        <f t="shared" si="2"/>
        <v>Lulus</v>
      </c>
      <c r="J7" s="5" t="str">
        <f t="shared" si="3"/>
        <v>Lulus</v>
      </c>
      <c r="K7" s="5" t="str">
        <f t="shared" si="4"/>
        <v>Lulus</v>
      </c>
    </row>
    <row r="8" spans="1:11" x14ac:dyDescent="0.3">
      <c r="A8" s="5">
        <v>6</v>
      </c>
      <c r="B8" s="5" t="s">
        <v>234</v>
      </c>
      <c r="C8" s="5" t="s">
        <v>241</v>
      </c>
      <c r="D8" s="5">
        <v>22</v>
      </c>
      <c r="E8" s="5" t="str">
        <f t="shared" si="0"/>
        <v>SMEA</v>
      </c>
      <c r="F8" s="5" t="str">
        <f t="shared" si="1"/>
        <v>Staff Administrasi</v>
      </c>
      <c r="G8" s="5">
        <v>42</v>
      </c>
      <c r="H8" s="5">
        <v>41</v>
      </c>
      <c r="I8" s="5" t="str">
        <f t="shared" si="2"/>
        <v>Lulus</v>
      </c>
      <c r="J8" s="5" t="str">
        <f t="shared" si="3"/>
        <v>Tidak lulus</v>
      </c>
      <c r="K8" s="5" t="str">
        <f t="shared" si="4"/>
        <v>Tidak Lulus</v>
      </c>
    </row>
    <row r="9" spans="1:11" x14ac:dyDescent="0.3">
      <c r="A9" s="5">
        <v>7</v>
      </c>
      <c r="B9" s="5" t="s">
        <v>170</v>
      </c>
      <c r="C9" s="5" t="s">
        <v>242</v>
      </c>
      <c r="D9" s="5">
        <v>29</v>
      </c>
      <c r="E9" s="5" t="str">
        <f t="shared" si="0"/>
        <v>Sarjana Ekonomi</v>
      </c>
      <c r="F9" s="5" t="str">
        <f t="shared" si="1"/>
        <v>Staff Accounting</v>
      </c>
      <c r="G9" s="5">
        <v>53</v>
      </c>
      <c r="H9" s="5">
        <v>67</v>
      </c>
      <c r="I9" s="5" t="str">
        <f t="shared" si="2"/>
        <v>TidakLulus</v>
      </c>
      <c r="J9" s="5" t="str">
        <f t="shared" si="3"/>
        <v>Lulus</v>
      </c>
      <c r="K9" s="5" t="str">
        <f t="shared" si="4"/>
        <v>Dipertimbangkan</v>
      </c>
    </row>
    <row r="10" spans="1:11" x14ac:dyDescent="0.3">
      <c r="A10" s="5">
        <v>8</v>
      </c>
      <c r="B10" s="5" t="s">
        <v>233</v>
      </c>
      <c r="C10" s="5" t="s">
        <v>243</v>
      </c>
      <c r="D10" s="5">
        <v>26</v>
      </c>
      <c r="E10" s="5" t="str">
        <f t="shared" si="0"/>
        <v>sarjana Komputer</v>
      </c>
      <c r="F10" s="5" t="str">
        <f t="shared" si="1"/>
        <v>Manager EDP</v>
      </c>
      <c r="G10" s="5">
        <v>55</v>
      </c>
      <c r="H10" s="5">
        <v>40</v>
      </c>
      <c r="I10" s="5" t="str">
        <f t="shared" si="2"/>
        <v>TidakLulus</v>
      </c>
      <c r="J10" s="5" t="str">
        <f t="shared" si="3"/>
        <v>Tidak lulus</v>
      </c>
      <c r="K10" s="5" t="str">
        <f t="shared" si="4"/>
        <v>Dipertimbangkan</v>
      </c>
    </row>
    <row r="11" spans="1:11" x14ac:dyDescent="0.3">
      <c r="A11" s="5">
        <v>9</v>
      </c>
      <c r="B11" s="5" t="s">
        <v>234</v>
      </c>
      <c r="C11" s="5" t="s">
        <v>244</v>
      </c>
      <c r="D11" s="5">
        <v>21</v>
      </c>
      <c r="E11" s="5" t="str">
        <f t="shared" si="0"/>
        <v>SMEA</v>
      </c>
      <c r="F11" s="5" t="str">
        <f t="shared" si="1"/>
        <v>Staff Administrasi</v>
      </c>
      <c r="G11" s="5">
        <v>75</v>
      </c>
      <c r="H11" s="5">
        <v>65</v>
      </c>
      <c r="I11" s="5" t="str">
        <f t="shared" si="2"/>
        <v>Lulus</v>
      </c>
      <c r="J11" s="5" t="str">
        <f t="shared" si="3"/>
        <v>Lulus</v>
      </c>
      <c r="K11" s="5" t="str">
        <f t="shared" si="4"/>
        <v>Lulus</v>
      </c>
    </row>
    <row r="12" spans="1:11" x14ac:dyDescent="0.3">
      <c r="A12" s="5">
        <v>10</v>
      </c>
      <c r="B12" s="5" t="s">
        <v>235</v>
      </c>
      <c r="C12" s="5" t="s">
        <v>245</v>
      </c>
      <c r="D12" s="5">
        <v>30</v>
      </c>
      <c r="E12" s="5" t="str">
        <f t="shared" si="0"/>
        <v>pendidikan SMA</v>
      </c>
      <c r="F12" s="5" t="str">
        <f t="shared" si="1"/>
        <v>Satpam</v>
      </c>
      <c r="G12" s="5">
        <v>76</v>
      </c>
      <c r="H12" s="5">
        <v>78</v>
      </c>
      <c r="I12" s="5" t="str">
        <f t="shared" si="2"/>
        <v>TidakLulus</v>
      </c>
      <c r="J12" s="5" t="str">
        <f t="shared" si="3"/>
        <v>Lulus</v>
      </c>
      <c r="K12" s="5" t="str">
        <f t="shared" si="4"/>
        <v>Dipertimbangkan</v>
      </c>
    </row>
  </sheetData>
  <mergeCells count="9">
    <mergeCell ref="G1:H1"/>
    <mergeCell ref="I1:J1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9B1A-8782-459D-9D2A-14262E2D5395}">
  <dimension ref="B2:D5"/>
  <sheetViews>
    <sheetView workbookViewId="0">
      <selection activeCell="D3" sqref="D3:D5"/>
    </sheetView>
  </sheetViews>
  <sheetFormatPr defaultRowHeight="14.4" x14ac:dyDescent="0.3"/>
  <cols>
    <col min="2" max="2" width="5.88671875" bestFit="1" customWidth="1"/>
    <col min="3" max="3" width="33.44140625" bestFit="1" customWidth="1"/>
    <col min="4" max="4" width="15.109375" customWidth="1"/>
  </cols>
  <sheetData>
    <row r="2" spans="2:4" x14ac:dyDescent="0.3">
      <c r="B2" s="1" t="s">
        <v>246</v>
      </c>
      <c r="C2" s="1" t="s">
        <v>247</v>
      </c>
      <c r="D2" s="1" t="s">
        <v>248</v>
      </c>
    </row>
    <row r="3" spans="2:4" x14ac:dyDescent="0.3">
      <c r="B3" s="1" t="s">
        <v>249</v>
      </c>
      <c r="C3" s="1" t="str">
        <f>IF(LEFT(B3,2)="AA","DATABASE",IF(LEFT(B3,2)="AB","SQL",IF(LEFT(B3,2)="AC","HARRY POTTER DAN SECRET CHAMBER")))</f>
        <v>DATABASE</v>
      </c>
      <c r="D3" s="26">
        <f>IF(RIGHT(B3,2)="01",85000,IF(RIGHT(B3,2)="02",100000))</f>
        <v>85000</v>
      </c>
    </row>
    <row r="4" spans="2:4" x14ac:dyDescent="0.3">
      <c r="B4" s="1" t="s">
        <v>250</v>
      </c>
      <c r="C4" s="1" t="str">
        <f t="shared" ref="C4:C5" si="0">IF(LEFT(B4,2)="AA","DATABASE",IF(LEFT(B4,2)="AB","SQL",IF(LEFT(B4,2)="AC","HARRY POTTER DAN SECRET CHAMBER")))</f>
        <v>SQL</v>
      </c>
      <c r="D4" s="26">
        <f t="shared" ref="D4:D5" si="1">IF(RIGHT(B4,2)="01",85000,IF(RIGHT(B4,2)="02",100000))</f>
        <v>100000</v>
      </c>
    </row>
    <row r="5" spans="2:4" x14ac:dyDescent="0.3">
      <c r="B5" s="1" t="s">
        <v>251</v>
      </c>
      <c r="C5" s="1" t="str">
        <f t="shared" si="0"/>
        <v>HARRY POTTER DAN SECRET CHAMBER</v>
      </c>
      <c r="D5" s="26">
        <f t="shared" si="1"/>
        <v>85000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D44-E562-4BE8-986C-D0BA05B847DB}">
  <dimension ref="B1:I14"/>
  <sheetViews>
    <sheetView workbookViewId="0">
      <selection activeCell="H4" sqref="H4"/>
    </sheetView>
  </sheetViews>
  <sheetFormatPr defaultRowHeight="14.4" x14ac:dyDescent="0.3"/>
  <cols>
    <col min="2" max="2" width="3.6640625" bestFit="1" customWidth="1"/>
    <col min="3" max="3" width="10.44140625" bestFit="1" customWidth="1"/>
    <col min="4" max="4" width="16.21875" bestFit="1" customWidth="1"/>
    <col min="5" max="5" width="15.44140625" customWidth="1"/>
    <col min="6" max="6" width="17.77734375" customWidth="1"/>
    <col min="7" max="9" width="15.44140625" customWidth="1"/>
  </cols>
  <sheetData>
    <row r="1" spans="2:9" x14ac:dyDescent="0.3">
      <c r="C1" t="s">
        <v>258</v>
      </c>
      <c r="D1" s="52">
        <v>0.1</v>
      </c>
    </row>
    <row r="2" spans="2:9" x14ac:dyDescent="0.3">
      <c r="B2" s="2" t="s">
        <v>0</v>
      </c>
      <c r="C2" s="2" t="s">
        <v>246</v>
      </c>
      <c r="D2" s="2" t="s">
        <v>254</v>
      </c>
      <c r="E2" s="2" t="s">
        <v>255</v>
      </c>
      <c r="F2" s="2" t="s">
        <v>256</v>
      </c>
      <c r="G2" s="2" t="s">
        <v>257</v>
      </c>
      <c r="H2" s="2" t="s">
        <v>258</v>
      </c>
      <c r="I2" s="2" t="s">
        <v>259</v>
      </c>
    </row>
    <row r="3" spans="2:9" x14ac:dyDescent="0.3">
      <c r="B3" s="2">
        <v>1</v>
      </c>
      <c r="C3" s="2" t="s">
        <v>260</v>
      </c>
      <c r="D3" s="2" t="str">
        <f>IF(MID(C3,4,2)="AD","LORD OF THERING",IF(MID(C3,4,2)="AC","RED CLIFF",IF(MID(C3,4,2)="CM","GET MERRIED",IF(MID(C3,4,2)="DR","WINTER SONATA"))))</f>
        <v>LORD OF THERING</v>
      </c>
      <c r="E3" s="2" t="str">
        <f>IF(MID(C3,4,2)="AD","ADVENTURE",IF(MID(C3,4,2)="AC","ACTION",IF(MID(C3,4,2)="CM","COMEDI",IF(MID(C3,4,2)="DR","DRAMA"))))</f>
        <v>ADVENTURE</v>
      </c>
      <c r="F3" s="51">
        <f>IF(RIGHT(C3,3)="001",69000,IF(RIGHT(C3,3)="002",45000,IF(RIGHT(C3,3)="003",400000)))</f>
        <v>69000</v>
      </c>
      <c r="G3" s="2">
        <v>6</v>
      </c>
      <c r="H3" s="51">
        <f>IF(OR(G3&gt;=5),F3*$D$1,0)</f>
        <v>6900</v>
      </c>
      <c r="I3" s="51">
        <f>F3*G3-H3</f>
        <v>407100</v>
      </c>
    </row>
    <row r="4" spans="2:9" x14ac:dyDescent="0.3">
      <c r="B4" s="2">
        <v>2</v>
      </c>
      <c r="C4" s="2" t="s">
        <v>261</v>
      </c>
      <c r="D4" s="2" t="str">
        <f t="shared" ref="D4:D9" si="0">IF(MID(C4,4,2)="AD","LORD OF THERING",IF(MID(C4,4,2)="AC","RED CLIFF",IF(MID(C4,4,2)="CM","GET MERRIED",IF(MID(C4,4,2)="DR","WINTER SONATA"))))</f>
        <v>RED CLIFF</v>
      </c>
      <c r="E4" s="2" t="str">
        <f t="shared" ref="E4:E9" si="1">IF(MID(C4,4,2)="AD","ADVENTURE",IF(MID(C4,4,2)="AC","ACTION",IF(MID(C4,4,2)="CM","COMEDI",IF(MID(C4,4,2)="DR","DRAMA"))))</f>
        <v>ACTION</v>
      </c>
      <c r="F4" s="51">
        <f t="shared" ref="F4:F9" si="2">IF(RIGHT(C4,3)="001",69000,IF(RIGHT(C4,3)="002",45000,IF(RIGHT(C4,3)="003",400000)))</f>
        <v>69000</v>
      </c>
      <c r="G4" s="2">
        <v>7</v>
      </c>
      <c r="H4" s="51">
        <f t="shared" ref="H4:H9" si="3">IF(OR(G4&gt;=5),F4*$D$1,0)</f>
        <v>6900</v>
      </c>
      <c r="I4" s="51">
        <f t="shared" ref="I4:I9" si="4">F4*G4-H4</f>
        <v>476100</v>
      </c>
    </row>
    <row r="5" spans="2:9" x14ac:dyDescent="0.3">
      <c r="B5" s="2">
        <v>3</v>
      </c>
      <c r="C5" s="2" t="s">
        <v>260</v>
      </c>
      <c r="D5" s="2" t="str">
        <f t="shared" si="0"/>
        <v>LORD OF THERING</v>
      </c>
      <c r="E5" s="2" t="str">
        <f t="shared" si="1"/>
        <v>ADVENTURE</v>
      </c>
      <c r="F5" s="51">
        <f t="shared" si="2"/>
        <v>69000</v>
      </c>
      <c r="G5" s="2">
        <v>5</v>
      </c>
      <c r="H5" s="51">
        <f t="shared" si="3"/>
        <v>6900</v>
      </c>
      <c r="I5" s="51">
        <f t="shared" si="4"/>
        <v>338100</v>
      </c>
    </row>
    <row r="6" spans="2:9" x14ac:dyDescent="0.3">
      <c r="B6" s="2">
        <v>4</v>
      </c>
      <c r="C6" s="2" t="s">
        <v>262</v>
      </c>
      <c r="D6" s="2" t="str">
        <f t="shared" si="0"/>
        <v>GET MERRIED</v>
      </c>
      <c r="E6" s="2" t="str">
        <f t="shared" si="1"/>
        <v>COMEDI</v>
      </c>
      <c r="F6" s="51">
        <f t="shared" si="2"/>
        <v>45000</v>
      </c>
      <c r="G6" s="2">
        <v>4</v>
      </c>
      <c r="H6" s="51">
        <f t="shared" si="3"/>
        <v>0</v>
      </c>
      <c r="I6" s="51">
        <f t="shared" si="4"/>
        <v>180000</v>
      </c>
    </row>
    <row r="7" spans="2:9" x14ac:dyDescent="0.3">
      <c r="B7" s="2">
        <v>5</v>
      </c>
      <c r="C7" s="2" t="s">
        <v>261</v>
      </c>
      <c r="D7" s="2" t="str">
        <f t="shared" si="0"/>
        <v>RED CLIFF</v>
      </c>
      <c r="E7" s="2" t="str">
        <f t="shared" si="1"/>
        <v>ACTION</v>
      </c>
      <c r="F7" s="51">
        <f t="shared" si="2"/>
        <v>69000</v>
      </c>
      <c r="G7" s="2">
        <v>9</v>
      </c>
      <c r="H7" s="51">
        <f t="shared" si="3"/>
        <v>6900</v>
      </c>
      <c r="I7" s="51">
        <f t="shared" si="4"/>
        <v>614100</v>
      </c>
    </row>
    <row r="8" spans="2:9" x14ac:dyDescent="0.3">
      <c r="B8" s="2">
        <v>6</v>
      </c>
      <c r="C8" s="2" t="s">
        <v>263</v>
      </c>
      <c r="D8" s="2" t="str">
        <f t="shared" si="0"/>
        <v>WINTER SONATA</v>
      </c>
      <c r="E8" s="2" t="str">
        <f t="shared" si="1"/>
        <v>DRAMA</v>
      </c>
      <c r="F8" s="51">
        <f t="shared" si="2"/>
        <v>400000</v>
      </c>
      <c r="G8" s="2">
        <v>2</v>
      </c>
      <c r="H8" s="51">
        <f t="shared" si="3"/>
        <v>0</v>
      </c>
      <c r="I8" s="51">
        <f t="shared" si="4"/>
        <v>800000</v>
      </c>
    </row>
    <row r="9" spans="2:9" x14ac:dyDescent="0.3">
      <c r="B9" s="2">
        <v>7</v>
      </c>
      <c r="C9" s="2" t="s">
        <v>262</v>
      </c>
      <c r="D9" s="2" t="str">
        <f t="shared" si="0"/>
        <v>GET MERRIED</v>
      </c>
      <c r="E9" s="2" t="str">
        <f t="shared" si="1"/>
        <v>COMEDI</v>
      </c>
      <c r="F9" s="51">
        <f t="shared" si="2"/>
        <v>45000</v>
      </c>
      <c r="G9" s="2">
        <v>4</v>
      </c>
      <c r="H9" s="51">
        <f t="shared" si="3"/>
        <v>0</v>
      </c>
      <c r="I9" s="51">
        <f t="shared" si="4"/>
        <v>180000</v>
      </c>
    </row>
    <row r="10" spans="2:9" x14ac:dyDescent="0.3">
      <c r="G10" s="1" t="s">
        <v>84</v>
      </c>
      <c r="H10" s="26">
        <f>SUM(H3:H9)</f>
        <v>27600</v>
      </c>
      <c r="I10" s="26">
        <f>SUM(I3:I9)</f>
        <v>2995400</v>
      </c>
    </row>
    <row r="11" spans="2:9" x14ac:dyDescent="0.3">
      <c r="G11" s="1" t="s">
        <v>85</v>
      </c>
      <c r="H11" s="26">
        <f>MAX(H3:H9)</f>
        <v>6900</v>
      </c>
      <c r="I11" s="26">
        <f>MAX(I3:I9)</f>
        <v>800000</v>
      </c>
    </row>
    <row r="12" spans="2:9" x14ac:dyDescent="0.3">
      <c r="G12" s="1" t="s">
        <v>86</v>
      </c>
      <c r="H12" s="26">
        <f>MIN(H3:H9)</f>
        <v>0</v>
      </c>
      <c r="I12" s="26">
        <f>MIN(I3:I9)</f>
        <v>180000</v>
      </c>
    </row>
    <row r="13" spans="2:9" x14ac:dyDescent="0.3">
      <c r="G13" s="1" t="s">
        <v>264</v>
      </c>
      <c r="H13" s="26">
        <f>AVERAGE(H3:H9)</f>
        <v>3942.8571428571427</v>
      </c>
      <c r="I13" s="26">
        <f>AVERAGE(I3:I9)</f>
        <v>427914.28571428574</v>
      </c>
    </row>
    <row r="14" spans="2:9" x14ac:dyDescent="0.3">
      <c r="G14" s="1" t="s">
        <v>88</v>
      </c>
      <c r="H14" s="1">
        <f>COUNT(H3:H9)</f>
        <v>7</v>
      </c>
      <c r="I14" s="1">
        <f>COUNT(I3:I9)</f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4113-FA32-48A7-A277-1F83C6E58FFC}">
  <dimension ref="A1:J23"/>
  <sheetViews>
    <sheetView workbookViewId="0">
      <selection activeCell="G6" sqref="G6"/>
    </sheetView>
  </sheetViews>
  <sheetFormatPr defaultRowHeight="14.4" x14ac:dyDescent="0.3"/>
  <cols>
    <col min="1" max="1" width="4.21875" customWidth="1"/>
    <col min="2" max="2" width="15.88671875" bestFit="1" customWidth="1"/>
    <col min="3" max="3" width="12.44140625" bestFit="1" customWidth="1"/>
    <col min="4" max="4" width="17.21875" bestFit="1" customWidth="1"/>
    <col min="5" max="5" width="12.33203125" bestFit="1" customWidth="1"/>
    <col min="6" max="6" width="12.77734375" bestFit="1" customWidth="1"/>
    <col min="7" max="7" width="10.77734375" bestFit="1" customWidth="1"/>
    <col min="8" max="8" width="11.6640625" bestFit="1" customWidth="1"/>
    <col min="9" max="9" width="22.5546875" bestFit="1" customWidth="1"/>
    <col min="10" max="10" width="16.21875" bestFit="1" customWidth="1"/>
  </cols>
  <sheetData>
    <row r="1" spans="1:10" x14ac:dyDescent="0.3">
      <c r="A1" s="104" t="s">
        <v>265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0" x14ac:dyDescent="0.3">
      <c r="A2" s="104" t="s">
        <v>266</v>
      </c>
      <c r="B2" s="104"/>
      <c r="C2" s="104"/>
      <c r="D2" s="104"/>
      <c r="E2" s="104"/>
      <c r="F2" s="104"/>
      <c r="G2" s="104"/>
      <c r="H2" s="104"/>
      <c r="I2" s="104"/>
      <c r="J2" s="104"/>
    </row>
    <row r="4" spans="1:10" x14ac:dyDescent="0.3">
      <c r="A4" s="27"/>
      <c r="B4" s="27" t="s">
        <v>278</v>
      </c>
      <c r="C4" s="27">
        <v>2023</v>
      </c>
      <c r="D4" s="27"/>
      <c r="E4" s="27"/>
      <c r="F4" s="27"/>
      <c r="G4" s="27"/>
      <c r="H4" s="27"/>
      <c r="I4" s="27"/>
      <c r="J4" s="27"/>
    </row>
    <row r="5" spans="1:10" x14ac:dyDescent="0.3">
      <c r="A5" s="53" t="s">
        <v>0</v>
      </c>
      <c r="B5" s="53" t="s">
        <v>268</v>
      </c>
      <c r="C5" s="53" t="s">
        <v>269</v>
      </c>
      <c r="D5" s="53" t="s">
        <v>270</v>
      </c>
      <c r="E5" s="53" t="s">
        <v>252</v>
      </c>
      <c r="F5" s="53" t="s">
        <v>253</v>
      </c>
      <c r="G5" s="53" t="s">
        <v>271</v>
      </c>
      <c r="H5" s="53" t="s">
        <v>272</v>
      </c>
      <c r="I5" s="53" t="s">
        <v>273</v>
      </c>
      <c r="J5" s="53" t="s">
        <v>274</v>
      </c>
    </row>
    <row r="6" spans="1:10" x14ac:dyDescent="0.3">
      <c r="A6" s="2">
        <v>1</v>
      </c>
      <c r="B6" s="16" t="s">
        <v>267</v>
      </c>
      <c r="C6" s="2">
        <v>1</v>
      </c>
      <c r="D6" s="16" t="str">
        <f>IF(LEFT(B6,2)="TF","TAFT",IF(LEFT(B6,2)="LC","LAND CRUSER",IF(LEFT(B6,2)="MC","MAC",IF(LEFT(B6,2)="VW","VOLK WAGEN"))))</f>
        <v>TAFT</v>
      </c>
      <c r="E6" s="2" t="str">
        <f>CHOOSE(C6,"JEPANG","INGGRIS","AMERIKA","JERMAN")</f>
        <v>JEPANG</v>
      </c>
      <c r="F6" s="2" t="str">
        <f>IF(MID(B6,4,2)="SL","SOLAR","BENSIN")</f>
        <v>SOLAR</v>
      </c>
      <c r="G6" s="51">
        <f>CHOOSE(C6,56000,75000,125000,80000)</f>
        <v>56000</v>
      </c>
      <c r="H6" s="2">
        <v>10</v>
      </c>
      <c r="I6" s="55" t="str">
        <f>IF(LEFT(B6,2)="TF","PERSONALITY DEPT",IF(LEFT(B6,2)="LC","FORESTRY DEPT",IF(LEFT(B6,2)="MC","TRANSPORTATION DEPT","MARKETING DEPT")))</f>
        <v>PERSONALITY DEPT</v>
      </c>
      <c r="J6" s="54">
        <f>RIGHT($C$4,2)-RIGHT(B6,2)</f>
        <v>21</v>
      </c>
    </row>
    <row r="7" spans="1:10" x14ac:dyDescent="0.3">
      <c r="A7" s="2">
        <v>2</v>
      </c>
      <c r="B7" s="16" t="s">
        <v>275</v>
      </c>
      <c r="C7" s="2">
        <v>2</v>
      </c>
      <c r="D7" s="16" t="str">
        <f t="shared" ref="D7:D15" si="0">IF(LEFT(B7,2)="TF","TAFT",IF(LEFT(B7,2)="LC","LAND CRUSER",IF(LEFT(B7,2)="MC","MAC",IF(LEFT(B7,2)="VW","VOLK WAGEN"))))</f>
        <v>LAND CRUSER</v>
      </c>
      <c r="E7" s="2" t="str">
        <f t="shared" ref="E7:E15" si="1">CHOOSE(C7,"JEPANG","INGGRIS","AMERIKA","JERMAN")</f>
        <v>INGGRIS</v>
      </c>
      <c r="F7" s="2" t="str">
        <f t="shared" ref="F7:F15" si="2">IF(MID(B7,4,2)="SL","SOLAR","BENSIN")</f>
        <v>BENSIN</v>
      </c>
      <c r="G7" s="51">
        <f t="shared" ref="G7:G15" si="3">CHOOSE(C7,56000,75000,125000,80000)</f>
        <v>75000</v>
      </c>
      <c r="H7" s="2">
        <v>15</v>
      </c>
      <c r="I7" s="55" t="str">
        <f t="shared" ref="I7:I15" si="4">IF(LEFT(B7,2)="TF","PERSONALITY DEPT",IF(LEFT(B7,2)="LC","FORESTRY DEPT",IF(LEFT(B7,2)="MC","TRANSPORTATION DEPT","MARKETING DEPT")))</f>
        <v>FORESTRY DEPT</v>
      </c>
      <c r="J7" s="54">
        <f t="shared" ref="J7:J15" si="5">RIGHT($C$4,2)-RIGHT(B7,2)</f>
        <v>22</v>
      </c>
    </row>
    <row r="8" spans="1:10" x14ac:dyDescent="0.3">
      <c r="A8" s="2">
        <v>3</v>
      </c>
      <c r="B8" s="16" t="s">
        <v>276</v>
      </c>
      <c r="C8" s="2">
        <v>3</v>
      </c>
      <c r="D8" s="16" t="str">
        <f t="shared" si="0"/>
        <v>MAC</v>
      </c>
      <c r="E8" s="2" t="str">
        <f t="shared" si="1"/>
        <v>AMERIKA</v>
      </c>
      <c r="F8" s="2" t="str">
        <f t="shared" si="2"/>
        <v>SOLAR</v>
      </c>
      <c r="G8" s="51">
        <f t="shared" si="3"/>
        <v>125000</v>
      </c>
      <c r="H8" s="2">
        <v>20</v>
      </c>
      <c r="I8" s="55" t="str">
        <f t="shared" si="4"/>
        <v>TRANSPORTATION DEPT</v>
      </c>
      <c r="J8" s="54">
        <f t="shared" si="5"/>
        <v>20</v>
      </c>
    </row>
    <row r="9" spans="1:10" x14ac:dyDescent="0.3">
      <c r="A9" s="2">
        <v>4</v>
      </c>
      <c r="B9" s="16" t="s">
        <v>277</v>
      </c>
      <c r="C9" s="2">
        <v>4</v>
      </c>
      <c r="D9" s="16" t="str">
        <f t="shared" si="0"/>
        <v>VOLK WAGEN</v>
      </c>
      <c r="E9" s="2" t="str">
        <f t="shared" si="1"/>
        <v>JERMAN</v>
      </c>
      <c r="F9" s="2" t="str">
        <f t="shared" si="2"/>
        <v>BENSIN</v>
      </c>
      <c r="G9" s="51">
        <f t="shared" si="3"/>
        <v>80000</v>
      </c>
      <c r="H9" s="2">
        <v>25</v>
      </c>
      <c r="I9" s="55" t="str">
        <f t="shared" si="4"/>
        <v>MARKETING DEPT</v>
      </c>
      <c r="J9" s="54">
        <f t="shared" si="5"/>
        <v>14</v>
      </c>
    </row>
    <row r="10" spans="1:10" x14ac:dyDescent="0.3">
      <c r="A10" s="2">
        <v>5</v>
      </c>
      <c r="B10" s="16" t="s">
        <v>267</v>
      </c>
      <c r="C10" s="2">
        <v>3</v>
      </c>
      <c r="D10" s="16" t="str">
        <f t="shared" si="0"/>
        <v>TAFT</v>
      </c>
      <c r="E10" s="2" t="str">
        <f t="shared" si="1"/>
        <v>AMERIKA</v>
      </c>
      <c r="F10" s="2" t="str">
        <f t="shared" si="2"/>
        <v>SOLAR</v>
      </c>
      <c r="G10" s="51">
        <f t="shared" si="3"/>
        <v>125000</v>
      </c>
      <c r="H10" s="2">
        <v>30</v>
      </c>
      <c r="I10" s="55" t="str">
        <f t="shared" si="4"/>
        <v>PERSONALITY DEPT</v>
      </c>
      <c r="J10" s="54">
        <f t="shared" si="5"/>
        <v>21</v>
      </c>
    </row>
    <row r="11" spans="1:10" x14ac:dyDescent="0.3">
      <c r="A11" s="2">
        <v>6</v>
      </c>
      <c r="B11" s="16" t="s">
        <v>275</v>
      </c>
      <c r="C11" s="2">
        <v>4</v>
      </c>
      <c r="D11" s="16" t="str">
        <f t="shared" si="0"/>
        <v>LAND CRUSER</v>
      </c>
      <c r="E11" s="2" t="str">
        <f t="shared" si="1"/>
        <v>JERMAN</v>
      </c>
      <c r="F11" s="2" t="str">
        <f t="shared" si="2"/>
        <v>BENSIN</v>
      </c>
      <c r="G11" s="51">
        <f t="shared" si="3"/>
        <v>80000</v>
      </c>
      <c r="H11" s="2">
        <v>32</v>
      </c>
      <c r="I11" s="55" t="str">
        <f t="shared" si="4"/>
        <v>FORESTRY DEPT</v>
      </c>
      <c r="J11" s="54">
        <f t="shared" si="5"/>
        <v>22</v>
      </c>
    </row>
    <row r="12" spans="1:10" x14ac:dyDescent="0.3">
      <c r="A12" s="2">
        <v>7</v>
      </c>
      <c r="B12" s="16" t="s">
        <v>276</v>
      </c>
      <c r="C12" s="2">
        <v>2</v>
      </c>
      <c r="D12" s="16" t="str">
        <f t="shared" si="0"/>
        <v>MAC</v>
      </c>
      <c r="E12" s="2" t="str">
        <f t="shared" si="1"/>
        <v>INGGRIS</v>
      </c>
      <c r="F12" s="2" t="str">
        <f t="shared" si="2"/>
        <v>SOLAR</v>
      </c>
      <c r="G12" s="51">
        <f t="shared" si="3"/>
        <v>75000</v>
      </c>
      <c r="H12" s="2">
        <v>40</v>
      </c>
      <c r="I12" s="55" t="str">
        <f t="shared" si="4"/>
        <v>TRANSPORTATION DEPT</v>
      </c>
      <c r="J12" s="54">
        <f t="shared" si="5"/>
        <v>20</v>
      </c>
    </row>
    <row r="13" spans="1:10" x14ac:dyDescent="0.3">
      <c r="A13" s="2">
        <v>8</v>
      </c>
      <c r="B13" s="16" t="s">
        <v>277</v>
      </c>
      <c r="C13" s="2">
        <v>1</v>
      </c>
      <c r="D13" s="16" t="str">
        <f t="shared" si="0"/>
        <v>VOLK WAGEN</v>
      </c>
      <c r="E13" s="2" t="str">
        <f t="shared" si="1"/>
        <v>JEPANG</v>
      </c>
      <c r="F13" s="2" t="str">
        <f t="shared" si="2"/>
        <v>BENSIN</v>
      </c>
      <c r="G13" s="51">
        <f t="shared" si="3"/>
        <v>56000</v>
      </c>
      <c r="H13" s="2">
        <v>100</v>
      </c>
      <c r="I13" s="55" t="str">
        <f t="shared" si="4"/>
        <v>MARKETING DEPT</v>
      </c>
      <c r="J13" s="54">
        <f t="shared" si="5"/>
        <v>14</v>
      </c>
    </row>
    <row r="14" spans="1:10" x14ac:dyDescent="0.3">
      <c r="A14" s="2">
        <v>9</v>
      </c>
      <c r="B14" s="16" t="s">
        <v>277</v>
      </c>
      <c r="C14" s="2">
        <v>4</v>
      </c>
      <c r="D14" s="16" t="str">
        <f t="shared" si="0"/>
        <v>VOLK WAGEN</v>
      </c>
      <c r="E14" s="2" t="str">
        <f t="shared" si="1"/>
        <v>JERMAN</v>
      </c>
      <c r="F14" s="2" t="str">
        <f t="shared" si="2"/>
        <v>BENSIN</v>
      </c>
      <c r="G14" s="51">
        <f t="shared" si="3"/>
        <v>80000</v>
      </c>
      <c r="H14" s="2">
        <v>200</v>
      </c>
      <c r="I14" s="55" t="str">
        <f t="shared" si="4"/>
        <v>MARKETING DEPT</v>
      </c>
      <c r="J14" s="54">
        <f t="shared" si="5"/>
        <v>14</v>
      </c>
    </row>
    <row r="15" spans="1:10" x14ac:dyDescent="0.3">
      <c r="A15" s="2">
        <v>10</v>
      </c>
      <c r="B15" s="16" t="s">
        <v>267</v>
      </c>
      <c r="C15" s="2">
        <v>2</v>
      </c>
      <c r="D15" s="16" t="str">
        <f t="shared" si="0"/>
        <v>TAFT</v>
      </c>
      <c r="E15" s="2" t="str">
        <f t="shared" si="1"/>
        <v>INGGRIS</v>
      </c>
      <c r="F15" s="2" t="str">
        <f t="shared" si="2"/>
        <v>SOLAR</v>
      </c>
      <c r="G15" s="51">
        <f t="shared" si="3"/>
        <v>75000</v>
      </c>
      <c r="H15" s="2">
        <v>390</v>
      </c>
      <c r="I15" s="55" t="str">
        <f t="shared" si="4"/>
        <v>PERSONALITY DEPT</v>
      </c>
      <c r="J15" s="54">
        <f t="shared" si="5"/>
        <v>21</v>
      </c>
    </row>
    <row r="18" spans="3:5" x14ac:dyDescent="0.3">
      <c r="C18" t="s">
        <v>279</v>
      </c>
    </row>
    <row r="19" spans="3:5" x14ac:dyDescent="0.3">
      <c r="C19" s="1" t="s">
        <v>246</v>
      </c>
      <c r="D19" s="1" t="s">
        <v>280</v>
      </c>
      <c r="E19" s="1" t="s">
        <v>281</v>
      </c>
    </row>
    <row r="20" spans="3:5" x14ac:dyDescent="0.3">
      <c r="C20" s="1">
        <v>1</v>
      </c>
      <c r="D20" s="1" t="s">
        <v>282</v>
      </c>
      <c r="E20" s="1">
        <v>56000</v>
      </c>
    </row>
    <row r="21" spans="3:5" x14ac:dyDescent="0.3">
      <c r="C21" s="1">
        <v>2</v>
      </c>
      <c r="D21" s="1" t="s">
        <v>283</v>
      </c>
      <c r="E21" s="1">
        <v>75000</v>
      </c>
    </row>
    <row r="22" spans="3:5" x14ac:dyDescent="0.3">
      <c r="C22" s="1">
        <v>3</v>
      </c>
      <c r="D22" s="1" t="s">
        <v>284</v>
      </c>
      <c r="E22" s="1">
        <v>125000</v>
      </c>
    </row>
    <row r="23" spans="3:5" x14ac:dyDescent="0.3">
      <c r="C23" s="1">
        <v>4</v>
      </c>
      <c r="D23" s="1" t="s">
        <v>285</v>
      </c>
      <c r="E23" s="1">
        <v>80000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1DDF-BC84-4376-85B3-A1BDD09466D7}">
  <dimension ref="B2:H11"/>
  <sheetViews>
    <sheetView tabSelected="1" workbookViewId="0">
      <selection activeCell="C9" sqref="C9"/>
    </sheetView>
  </sheetViews>
  <sheetFormatPr defaultRowHeight="14.4" x14ac:dyDescent="0.3"/>
  <cols>
    <col min="2" max="2" width="6.109375" bestFit="1" customWidth="1"/>
    <col min="3" max="3" width="16.44140625" bestFit="1" customWidth="1"/>
    <col min="4" max="4" width="11.21875" customWidth="1"/>
    <col min="5" max="5" width="11.109375" customWidth="1"/>
    <col min="6" max="6" width="10" bestFit="1" customWidth="1"/>
    <col min="7" max="7" width="11" bestFit="1" customWidth="1"/>
    <col min="8" max="8" width="10" bestFit="1" customWidth="1"/>
  </cols>
  <sheetData>
    <row r="2" spans="2:8" ht="28.8" x14ac:dyDescent="0.3">
      <c r="B2" s="48" t="s">
        <v>286</v>
      </c>
      <c r="C2" s="48" t="s">
        <v>247</v>
      </c>
      <c r="D2" s="49" t="s">
        <v>248</v>
      </c>
      <c r="E2" s="49" t="s">
        <v>287</v>
      </c>
    </row>
    <row r="3" spans="2:8" x14ac:dyDescent="0.3">
      <c r="B3" s="1" t="s">
        <v>169</v>
      </c>
      <c r="C3" s="1" t="str">
        <f>VLOOKUP(B3,BUKU,2,0)</f>
        <v>DATABASE</v>
      </c>
      <c r="D3" s="25">
        <f>HLOOKUP(B3,Harga,2,0)</f>
        <v>85000</v>
      </c>
      <c r="E3" s="1"/>
    </row>
    <row r="4" spans="2:8" x14ac:dyDescent="0.3">
      <c r="B4" s="1" t="s">
        <v>170</v>
      </c>
      <c r="C4" s="1" t="str">
        <f>VLOOKUP(B4,BUKU,2,0)</f>
        <v>SQL SERVER</v>
      </c>
      <c r="D4" s="25">
        <f>HLOOKUP(B4,Harga,2,0)</f>
        <v>100000</v>
      </c>
      <c r="E4" s="1"/>
    </row>
    <row r="5" spans="2:8" x14ac:dyDescent="0.3">
      <c r="B5" s="1" t="s">
        <v>233</v>
      </c>
      <c r="C5" s="1" t="str">
        <f>VLOOKUP(B5,BUKU,2,0)</f>
        <v>MICROSOFT EXCEL</v>
      </c>
      <c r="D5" s="25">
        <f>HLOOKUP(B5,Harga,2,0)</f>
        <v>50000</v>
      </c>
      <c r="E5" s="1"/>
    </row>
    <row r="8" spans="2:8" x14ac:dyDescent="0.3">
      <c r="B8" s="1" t="s">
        <v>246</v>
      </c>
      <c r="C8" s="1" t="s">
        <v>247</v>
      </c>
      <c r="E8" s="1" t="s">
        <v>246</v>
      </c>
      <c r="F8" s="1" t="s">
        <v>169</v>
      </c>
      <c r="G8" s="1" t="s">
        <v>170</v>
      </c>
      <c r="H8" s="1" t="s">
        <v>233</v>
      </c>
    </row>
    <row r="9" spans="2:8" ht="28.8" x14ac:dyDescent="0.3">
      <c r="B9" s="1" t="s">
        <v>169</v>
      </c>
      <c r="C9" s="1" t="s">
        <v>288</v>
      </c>
      <c r="E9" s="3" t="s">
        <v>248</v>
      </c>
      <c r="F9" s="26">
        <v>85000</v>
      </c>
      <c r="G9" s="26">
        <v>100000</v>
      </c>
      <c r="H9" s="26">
        <v>50000</v>
      </c>
    </row>
    <row r="10" spans="2:8" x14ac:dyDescent="0.3">
      <c r="B10" s="1" t="s">
        <v>170</v>
      </c>
      <c r="C10" s="1" t="s">
        <v>289</v>
      </c>
    </row>
    <row r="11" spans="2:8" x14ac:dyDescent="0.3">
      <c r="B11" s="1" t="s">
        <v>233</v>
      </c>
      <c r="C11" s="1" t="s">
        <v>290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2F7E-DDF0-4699-BC6E-F51F469D4184}">
  <dimension ref="B1:M33"/>
  <sheetViews>
    <sheetView topLeftCell="A4" workbookViewId="0">
      <selection activeCell="D12" sqref="D12"/>
    </sheetView>
  </sheetViews>
  <sheetFormatPr defaultRowHeight="14.4" x14ac:dyDescent="0.3"/>
  <cols>
    <col min="4" max="4" width="13.77734375" customWidth="1"/>
    <col min="6" max="6" width="12.33203125" bestFit="1" customWidth="1"/>
    <col min="7" max="7" width="14.109375" bestFit="1" customWidth="1"/>
    <col min="8" max="8" width="17.88671875" customWidth="1"/>
    <col min="9" max="9" width="15.6640625" bestFit="1" customWidth="1"/>
    <col min="10" max="10" width="12.33203125" customWidth="1"/>
    <col min="11" max="11" width="10.88671875" bestFit="1" customWidth="1"/>
    <col min="12" max="12" width="16.6640625" bestFit="1" customWidth="1"/>
    <col min="13" max="13" width="14.77734375" customWidth="1"/>
  </cols>
  <sheetData>
    <row r="1" spans="2:13" x14ac:dyDescent="0.3">
      <c r="B1" s="104" t="s">
        <v>291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2:13" x14ac:dyDescent="0.3">
      <c r="B2" s="104" t="s">
        <v>292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4" spans="2:13" x14ac:dyDescent="0.3">
      <c r="B4" s="113" t="s">
        <v>0</v>
      </c>
      <c r="C4" s="113" t="s">
        <v>293</v>
      </c>
      <c r="D4" s="113" t="s">
        <v>135</v>
      </c>
      <c r="E4" s="113" t="s">
        <v>197</v>
      </c>
      <c r="F4" s="114" t="s">
        <v>294</v>
      </c>
      <c r="G4" s="114"/>
      <c r="H4" s="114"/>
      <c r="I4" s="114" t="s">
        <v>295</v>
      </c>
      <c r="J4" s="114"/>
      <c r="K4" s="114"/>
      <c r="L4" s="102" t="s">
        <v>296</v>
      </c>
      <c r="M4" s="102" t="s">
        <v>204</v>
      </c>
    </row>
    <row r="5" spans="2:13" x14ac:dyDescent="0.3">
      <c r="B5" s="113"/>
      <c r="C5" s="113"/>
      <c r="D5" s="113"/>
      <c r="E5" s="113"/>
      <c r="F5" s="5" t="s">
        <v>70</v>
      </c>
      <c r="G5" s="5" t="s">
        <v>297</v>
      </c>
      <c r="H5" s="5" t="s">
        <v>298</v>
      </c>
      <c r="I5" s="5" t="s">
        <v>203</v>
      </c>
      <c r="J5" s="5" t="s">
        <v>74</v>
      </c>
      <c r="K5" s="5" t="s">
        <v>299</v>
      </c>
      <c r="L5" s="103"/>
      <c r="M5" s="103"/>
    </row>
    <row r="6" spans="2:13" x14ac:dyDescent="0.3">
      <c r="B6" s="1">
        <v>1</v>
      </c>
      <c r="C6" s="1">
        <v>1</v>
      </c>
      <c r="D6" s="56" t="str">
        <f t="shared" ref="D6:D12" si="0">VLOOKUP(C6,NAMA,2,0)</f>
        <v>Septa</v>
      </c>
      <c r="E6" s="1" t="s">
        <v>300</v>
      </c>
      <c r="F6" s="26">
        <f t="shared" ref="F6:F12" si="1">HLOOKUP(E6,Gaji,2,0)</f>
        <v>1250000</v>
      </c>
      <c r="G6" s="26">
        <f>IF(E6="A",200000,IF(E6="B",225000,IF(E6="C",330000)))</f>
        <v>200000</v>
      </c>
      <c r="H6" s="26">
        <f t="shared" ref="H6:H12" si="2">IF(VLOOKUP(C6,NAMA,3,0)="Nikah",75000,0)</f>
        <v>75000</v>
      </c>
      <c r="I6" s="26">
        <f>5%*F6</f>
        <v>62500</v>
      </c>
      <c r="J6" s="26">
        <f>2.5%*F6</f>
        <v>31250</v>
      </c>
      <c r="K6" s="26">
        <v>50000</v>
      </c>
      <c r="L6" s="26">
        <f>I6+J6+K6</f>
        <v>143750</v>
      </c>
      <c r="M6" s="26">
        <f>(F6+G6+H6) -L6</f>
        <v>1381250</v>
      </c>
    </row>
    <row r="7" spans="2:13" x14ac:dyDescent="0.3">
      <c r="B7" s="1">
        <v>2</v>
      </c>
      <c r="C7" s="1">
        <v>2</v>
      </c>
      <c r="D7" s="56" t="str">
        <f t="shared" si="0"/>
        <v>Adi</v>
      </c>
      <c r="E7" s="1" t="s">
        <v>162</v>
      </c>
      <c r="F7" s="26">
        <f t="shared" si="1"/>
        <v>1450000</v>
      </c>
      <c r="G7" s="26">
        <f t="shared" ref="G7:G12" si="3">IF(E7="A",200000,IF(E7="B",225000,IF(E7="C",330000)))</f>
        <v>225000</v>
      </c>
      <c r="H7" s="26">
        <f t="shared" si="2"/>
        <v>0</v>
      </c>
      <c r="I7" s="26">
        <f t="shared" ref="I7:I12" si="4">5%*F7</f>
        <v>72500</v>
      </c>
      <c r="J7" s="26">
        <f t="shared" ref="J7:J12" si="5">2.5%*F7</f>
        <v>36250</v>
      </c>
      <c r="K7" s="26"/>
      <c r="L7" s="26">
        <f t="shared" ref="L7:L12" si="6">I7+J7+K7</f>
        <v>108750</v>
      </c>
      <c r="M7" s="26">
        <f t="shared" ref="M7:M12" si="7">(F7+G7+H7) -L7</f>
        <v>1566250</v>
      </c>
    </row>
    <row r="8" spans="2:13" x14ac:dyDescent="0.3">
      <c r="B8" s="1">
        <v>3</v>
      </c>
      <c r="C8" s="1">
        <v>3</v>
      </c>
      <c r="D8" s="56" t="str">
        <f t="shared" si="0"/>
        <v>Hikmatiar</v>
      </c>
      <c r="E8" s="1" t="s">
        <v>300</v>
      </c>
      <c r="F8" s="26">
        <f t="shared" si="1"/>
        <v>1250000</v>
      </c>
      <c r="G8" s="26">
        <f t="shared" si="3"/>
        <v>200000</v>
      </c>
      <c r="H8" s="26">
        <f t="shared" si="2"/>
        <v>75000</v>
      </c>
      <c r="I8" s="26">
        <f t="shared" si="4"/>
        <v>62500</v>
      </c>
      <c r="J8" s="26">
        <f t="shared" si="5"/>
        <v>31250</v>
      </c>
      <c r="K8" s="26">
        <v>150000</v>
      </c>
      <c r="L8" s="26">
        <f t="shared" si="6"/>
        <v>243750</v>
      </c>
      <c r="M8" s="26">
        <f t="shared" si="7"/>
        <v>1281250</v>
      </c>
    </row>
    <row r="9" spans="2:13" x14ac:dyDescent="0.3">
      <c r="B9" s="1">
        <v>4</v>
      </c>
      <c r="C9" s="1">
        <v>4</v>
      </c>
      <c r="D9" s="56" t="str">
        <f t="shared" si="0"/>
        <v>Jaja Miharja</v>
      </c>
      <c r="E9" s="1" t="s">
        <v>163</v>
      </c>
      <c r="F9" s="26">
        <f t="shared" si="1"/>
        <v>1455000</v>
      </c>
      <c r="G9" s="26">
        <f t="shared" si="3"/>
        <v>330000</v>
      </c>
      <c r="H9" s="26">
        <f t="shared" si="2"/>
        <v>75000</v>
      </c>
      <c r="I9" s="26">
        <f t="shared" si="4"/>
        <v>72750</v>
      </c>
      <c r="J9" s="26">
        <f t="shared" si="5"/>
        <v>36375</v>
      </c>
      <c r="K9" s="26">
        <v>20000</v>
      </c>
      <c r="L9" s="26">
        <f t="shared" si="6"/>
        <v>129125</v>
      </c>
      <c r="M9" s="26">
        <f t="shared" si="7"/>
        <v>1730875</v>
      </c>
    </row>
    <row r="10" spans="2:13" x14ac:dyDescent="0.3">
      <c r="B10" s="1">
        <v>5</v>
      </c>
      <c r="C10" s="1">
        <v>5</v>
      </c>
      <c r="D10" s="56" t="str">
        <f t="shared" si="0"/>
        <v>Karimun</v>
      </c>
      <c r="E10" s="1" t="s">
        <v>162</v>
      </c>
      <c r="F10" s="26">
        <f t="shared" si="1"/>
        <v>1450000</v>
      </c>
      <c r="G10" s="26">
        <f t="shared" si="3"/>
        <v>225000</v>
      </c>
      <c r="H10" s="26">
        <f t="shared" si="2"/>
        <v>0</v>
      </c>
      <c r="I10" s="26">
        <f t="shared" si="4"/>
        <v>72500</v>
      </c>
      <c r="J10" s="26">
        <f t="shared" si="5"/>
        <v>36250</v>
      </c>
      <c r="K10" s="26"/>
      <c r="L10" s="26">
        <f t="shared" si="6"/>
        <v>108750</v>
      </c>
      <c r="M10" s="26">
        <f t="shared" si="7"/>
        <v>1566250</v>
      </c>
    </row>
    <row r="11" spans="2:13" x14ac:dyDescent="0.3">
      <c r="B11" s="1">
        <v>6</v>
      </c>
      <c r="C11" s="1">
        <v>6</v>
      </c>
      <c r="D11" s="56" t="str">
        <f t="shared" si="0"/>
        <v>Samirin</v>
      </c>
      <c r="E11" s="1" t="s">
        <v>163</v>
      </c>
      <c r="F11" s="26">
        <f t="shared" si="1"/>
        <v>1455000</v>
      </c>
      <c r="G11" s="26">
        <f t="shared" si="3"/>
        <v>330000</v>
      </c>
      <c r="H11" s="26">
        <f t="shared" si="2"/>
        <v>75000</v>
      </c>
      <c r="I11" s="26">
        <f t="shared" si="4"/>
        <v>72750</v>
      </c>
      <c r="J11" s="26">
        <f t="shared" si="5"/>
        <v>36375</v>
      </c>
      <c r="K11" s="26"/>
      <c r="L11" s="26">
        <f t="shared" si="6"/>
        <v>109125</v>
      </c>
      <c r="M11" s="26">
        <f t="shared" si="7"/>
        <v>1750875</v>
      </c>
    </row>
    <row r="12" spans="2:13" x14ac:dyDescent="0.3">
      <c r="B12" s="1">
        <v>7</v>
      </c>
      <c r="C12" s="1">
        <v>7</v>
      </c>
      <c r="D12" s="56" t="str">
        <f t="shared" si="0"/>
        <v>Iye Indriastuti</v>
      </c>
      <c r="E12" s="1" t="s">
        <v>300</v>
      </c>
      <c r="F12" s="26">
        <f t="shared" si="1"/>
        <v>1250000</v>
      </c>
      <c r="G12" s="26">
        <f t="shared" si="3"/>
        <v>200000</v>
      </c>
      <c r="H12" s="26">
        <f t="shared" si="2"/>
        <v>75000</v>
      </c>
      <c r="I12" s="26">
        <f t="shared" si="4"/>
        <v>62500</v>
      </c>
      <c r="J12" s="26">
        <f t="shared" si="5"/>
        <v>31250</v>
      </c>
      <c r="K12" s="26">
        <v>23000</v>
      </c>
      <c r="L12" s="26">
        <f t="shared" si="6"/>
        <v>116750</v>
      </c>
      <c r="M12" s="26">
        <f t="shared" si="7"/>
        <v>1408250</v>
      </c>
    </row>
    <row r="14" spans="2:13" x14ac:dyDescent="0.3">
      <c r="B14" t="s">
        <v>301</v>
      </c>
      <c r="G14" t="s">
        <v>302</v>
      </c>
    </row>
    <row r="16" spans="2:13" x14ac:dyDescent="0.3">
      <c r="B16" s="1" t="s">
        <v>303</v>
      </c>
      <c r="C16" s="1" t="s">
        <v>300</v>
      </c>
      <c r="D16" s="1" t="s">
        <v>162</v>
      </c>
      <c r="E16" s="1" t="s">
        <v>163</v>
      </c>
      <c r="G16" s="1" t="s">
        <v>293</v>
      </c>
      <c r="H16" s="1" t="s">
        <v>91</v>
      </c>
      <c r="I16" s="1" t="s">
        <v>305</v>
      </c>
    </row>
    <row r="17" spans="2:9" x14ac:dyDescent="0.3">
      <c r="B17" s="1" t="s">
        <v>304</v>
      </c>
      <c r="C17" s="1">
        <v>1250000</v>
      </c>
      <c r="D17" s="1">
        <v>1450000</v>
      </c>
      <c r="E17" s="1">
        <v>1455000</v>
      </c>
      <c r="G17" s="1">
        <v>1</v>
      </c>
      <c r="H17" s="1" t="s">
        <v>306</v>
      </c>
      <c r="I17" s="1" t="s">
        <v>307</v>
      </c>
    </row>
    <row r="18" spans="2:9" x14ac:dyDescent="0.3">
      <c r="G18" s="1">
        <v>2</v>
      </c>
      <c r="H18" s="1" t="s">
        <v>308</v>
      </c>
      <c r="I18" s="1" t="s">
        <v>309</v>
      </c>
    </row>
    <row r="19" spans="2:9" x14ac:dyDescent="0.3">
      <c r="G19" s="1">
        <v>3</v>
      </c>
      <c r="H19" s="1" t="s">
        <v>310</v>
      </c>
      <c r="I19" s="1" t="s">
        <v>307</v>
      </c>
    </row>
    <row r="20" spans="2:9" x14ac:dyDescent="0.3">
      <c r="G20" s="1">
        <v>4</v>
      </c>
      <c r="H20" s="1" t="s">
        <v>311</v>
      </c>
      <c r="I20" s="1" t="s">
        <v>307</v>
      </c>
    </row>
    <row r="21" spans="2:9" x14ac:dyDescent="0.3">
      <c r="G21" s="1">
        <v>5</v>
      </c>
      <c r="H21" s="1" t="s">
        <v>312</v>
      </c>
      <c r="I21" s="1" t="s">
        <v>309</v>
      </c>
    </row>
    <row r="22" spans="2:9" x14ac:dyDescent="0.3">
      <c r="G22" s="1">
        <v>6</v>
      </c>
      <c r="H22" s="1" t="s">
        <v>313</v>
      </c>
      <c r="I22" s="1" t="s">
        <v>307</v>
      </c>
    </row>
    <row r="23" spans="2:9" x14ac:dyDescent="0.3">
      <c r="G23" s="1">
        <v>7</v>
      </c>
      <c r="H23" s="1" t="s">
        <v>314</v>
      </c>
      <c r="I23" s="1" t="s">
        <v>307</v>
      </c>
    </row>
    <row r="25" spans="2:9" x14ac:dyDescent="0.3">
      <c r="B25" t="s">
        <v>315</v>
      </c>
    </row>
    <row r="26" spans="2:9" x14ac:dyDescent="0.3">
      <c r="B26" t="s">
        <v>316</v>
      </c>
    </row>
    <row r="27" spans="2:9" x14ac:dyDescent="0.3">
      <c r="B27" t="s">
        <v>317</v>
      </c>
    </row>
    <row r="28" spans="2:9" x14ac:dyDescent="0.3">
      <c r="B28" t="s">
        <v>318</v>
      </c>
    </row>
    <row r="29" spans="2:9" x14ac:dyDescent="0.3">
      <c r="B29" t="s">
        <v>319</v>
      </c>
    </row>
    <row r="30" spans="2:9" x14ac:dyDescent="0.3">
      <c r="B30" t="s">
        <v>320</v>
      </c>
    </row>
    <row r="31" spans="2:9" x14ac:dyDescent="0.3">
      <c r="B31" t="s">
        <v>321</v>
      </c>
    </row>
    <row r="32" spans="2:9" x14ac:dyDescent="0.3">
      <c r="B32" t="s">
        <v>322</v>
      </c>
    </row>
    <row r="33" spans="2:2" x14ac:dyDescent="0.3">
      <c r="B33" t="s">
        <v>323</v>
      </c>
    </row>
  </sheetData>
  <mergeCells count="10">
    <mergeCell ref="B1:M1"/>
    <mergeCell ref="B2:M2"/>
    <mergeCell ref="L4:L5"/>
    <mergeCell ref="M4:M5"/>
    <mergeCell ref="B4:B5"/>
    <mergeCell ref="C4:C5"/>
    <mergeCell ref="D4:D5"/>
    <mergeCell ref="E4:E5"/>
    <mergeCell ref="F4:H4"/>
    <mergeCell ref="I4:K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9B25-87C1-44DD-AD52-4C419CC776C5}">
  <dimension ref="B2:G11"/>
  <sheetViews>
    <sheetView workbookViewId="0">
      <selection activeCell="D3" sqref="D3"/>
    </sheetView>
  </sheetViews>
  <sheetFormatPr defaultRowHeight="14.4" x14ac:dyDescent="0.3"/>
  <cols>
    <col min="3" max="3" width="12" customWidth="1"/>
    <col min="4" max="4" width="10.109375" customWidth="1"/>
  </cols>
  <sheetData>
    <row r="2" spans="2:7" x14ac:dyDescent="0.3">
      <c r="B2" s="2" t="s">
        <v>246</v>
      </c>
      <c r="C2" s="2" t="s">
        <v>324</v>
      </c>
      <c r="D2" s="2" t="s">
        <v>325</v>
      </c>
    </row>
    <row r="3" spans="2:7" x14ac:dyDescent="0.3">
      <c r="B3" s="1" t="s">
        <v>326</v>
      </c>
      <c r="C3" s="1" t="str">
        <f>VLOOKUP(LEFT(B3,2),buah,2,0)</f>
        <v>MANGGA</v>
      </c>
      <c r="D3" s="1" t="str">
        <f>HLOOKUP(RIGHT(B3,2),Asal,2,0)</f>
        <v>MALANG</v>
      </c>
    </row>
    <row r="4" spans="2:7" x14ac:dyDescent="0.3">
      <c r="B4" s="1" t="s">
        <v>327</v>
      </c>
      <c r="C4" s="1" t="str">
        <f>VLOOKUP(LEFT(B4,2),buah,2,0)</f>
        <v>SALAK</v>
      </c>
      <c r="D4" s="1" t="str">
        <f>HLOOKUP(RIGHT(B4,2),Asal,2,0)</f>
        <v>SIBOLGA</v>
      </c>
    </row>
    <row r="5" spans="2:7" x14ac:dyDescent="0.3">
      <c r="B5" s="1" t="s">
        <v>328</v>
      </c>
      <c r="C5" s="1" t="str">
        <f>VLOOKUP(LEFT(B5,2),buah,2,0)</f>
        <v>LEMON</v>
      </c>
      <c r="D5" s="1" t="str">
        <f>HLOOKUP(RIGHT(B5,2),Asal,2,0)</f>
        <v>MALANG</v>
      </c>
    </row>
    <row r="7" spans="2:7" x14ac:dyDescent="0.3">
      <c r="B7" t="s">
        <v>329</v>
      </c>
      <c r="E7" t="s">
        <v>333</v>
      </c>
    </row>
    <row r="8" spans="2:7" x14ac:dyDescent="0.3">
      <c r="B8" s="2" t="s">
        <v>246</v>
      </c>
      <c r="C8" s="2" t="s">
        <v>324</v>
      </c>
      <c r="E8" s="2" t="s">
        <v>246</v>
      </c>
      <c r="F8" s="2" t="s">
        <v>334</v>
      </c>
      <c r="G8" s="2" t="s">
        <v>335</v>
      </c>
    </row>
    <row r="9" spans="2:7" x14ac:dyDescent="0.3">
      <c r="B9" s="1" t="s">
        <v>170</v>
      </c>
      <c r="C9" s="1" t="s">
        <v>330</v>
      </c>
      <c r="E9" s="1" t="s">
        <v>325</v>
      </c>
      <c r="F9" s="1" t="s">
        <v>337</v>
      </c>
      <c r="G9" s="1" t="s">
        <v>336</v>
      </c>
    </row>
    <row r="10" spans="2:7" x14ac:dyDescent="0.3">
      <c r="B10" s="1" t="s">
        <v>233</v>
      </c>
      <c r="C10" s="1" t="s">
        <v>331</v>
      </c>
    </row>
    <row r="11" spans="2:7" x14ac:dyDescent="0.3">
      <c r="B11" s="1" t="s">
        <v>234</v>
      </c>
      <c r="C11" s="1" t="s">
        <v>332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883F-E4E5-43B7-8B7E-CDC2BCBF9AA3}">
  <dimension ref="A1:L30"/>
  <sheetViews>
    <sheetView topLeftCell="A6" zoomScale="85" zoomScaleNormal="85" workbookViewId="0">
      <selection activeCell="C30" sqref="C30"/>
    </sheetView>
  </sheetViews>
  <sheetFormatPr defaultRowHeight="14.4" x14ac:dyDescent="0.3"/>
  <cols>
    <col min="1" max="1" width="13.5546875" customWidth="1"/>
    <col min="2" max="2" width="15.21875" bestFit="1" customWidth="1"/>
    <col min="3" max="3" width="15.44140625" bestFit="1" customWidth="1"/>
    <col min="4" max="4" width="10.5546875" bestFit="1" customWidth="1"/>
    <col min="5" max="5" width="12.77734375" bestFit="1" customWidth="1"/>
    <col min="6" max="6" width="10.6640625" bestFit="1" customWidth="1"/>
    <col min="7" max="7" width="13.88671875" bestFit="1" customWidth="1"/>
    <col min="8" max="8" width="13.5546875" bestFit="1" customWidth="1"/>
    <col min="9" max="9" width="13.88671875" bestFit="1" customWidth="1"/>
    <col min="10" max="10" width="16.6640625" bestFit="1" customWidth="1"/>
    <col min="11" max="11" width="12.5546875" bestFit="1" customWidth="1"/>
    <col min="12" max="12" width="16.21875" bestFit="1" customWidth="1"/>
  </cols>
  <sheetData>
    <row r="1" spans="1:12" ht="18.600000000000001" x14ac:dyDescent="0.45">
      <c r="A1" s="115" t="s">
        <v>338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18.600000000000001" x14ac:dyDescent="0.45">
      <c r="A2" s="57"/>
      <c r="B2" s="57"/>
      <c r="C2" s="57"/>
      <c r="D2" s="57"/>
      <c r="E2" s="57"/>
      <c r="F2" s="57"/>
      <c r="G2" s="57"/>
      <c r="H2" s="57"/>
      <c r="I2" s="57"/>
      <c r="J2" s="57" t="s">
        <v>339</v>
      </c>
      <c r="K2" s="57">
        <v>7</v>
      </c>
      <c r="L2" s="57"/>
    </row>
    <row r="3" spans="1:12" ht="39.6" x14ac:dyDescent="0.3">
      <c r="A3" s="60" t="s">
        <v>340</v>
      </c>
      <c r="B3" s="60" t="s">
        <v>341</v>
      </c>
      <c r="C3" s="60" t="s">
        <v>342</v>
      </c>
      <c r="D3" s="60" t="s">
        <v>343</v>
      </c>
      <c r="E3" s="60" t="s">
        <v>20</v>
      </c>
      <c r="F3" s="60" t="s">
        <v>344</v>
      </c>
      <c r="G3" s="60" t="s">
        <v>345</v>
      </c>
      <c r="H3" s="60" t="s">
        <v>346</v>
      </c>
      <c r="I3" s="60" t="s">
        <v>347</v>
      </c>
      <c r="J3" s="60" t="s">
        <v>258</v>
      </c>
      <c r="K3" s="60" t="s">
        <v>348</v>
      </c>
      <c r="L3" s="60" t="s">
        <v>349</v>
      </c>
    </row>
    <row r="4" spans="1:12" ht="18.600000000000001" x14ac:dyDescent="0.45">
      <c r="A4" s="61">
        <v>1</v>
      </c>
      <c r="B4" s="61" t="s">
        <v>212</v>
      </c>
      <c r="C4" s="59" t="str">
        <f t="shared" ref="C4:C11" si="0">VLOOKUP(LEFT(B4,1),N_BRG,2,0)</f>
        <v>KEYBOARD</v>
      </c>
      <c r="D4" s="59" t="str">
        <f t="shared" ref="D4:D11" si="1">VLOOKUP(RIGHT(B4,1),tyPE_BRG,2,0)</f>
        <v>LOKAL</v>
      </c>
      <c r="E4" s="65">
        <f t="shared" ref="E4:E11" si="2">VLOOKUP(LEFT(B4,1),N_BRG,3,0)</f>
        <v>55000</v>
      </c>
      <c r="F4" s="61">
        <v>34</v>
      </c>
      <c r="G4" s="62">
        <v>45574</v>
      </c>
      <c r="H4" s="62">
        <f>G4+$K$2</f>
        <v>45581</v>
      </c>
      <c r="I4" s="62">
        <v>45576</v>
      </c>
      <c r="J4" s="65">
        <f>IF(G4=I4,10%*(F4*E4),0)</f>
        <v>0</v>
      </c>
      <c r="K4" s="65">
        <f>IF(I4&gt;H4,2%*(F4*E4),0)</f>
        <v>0</v>
      </c>
      <c r="L4" s="66">
        <f>F4*E4-J4+K4</f>
        <v>1870000</v>
      </c>
    </row>
    <row r="5" spans="1:12" ht="18.600000000000001" x14ac:dyDescent="0.45">
      <c r="A5" s="61">
        <v>2</v>
      </c>
      <c r="B5" s="61" t="s">
        <v>350</v>
      </c>
      <c r="C5" s="59" t="str">
        <f t="shared" si="0"/>
        <v>MOUSE</v>
      </c>
      <c r="D5" s="59" t="str">
        <f t="shared" si="1"/>
        <v>BLANK</v>
      </c>
      <c r="E5" s="65">
        <f t="shared" si="2"/>
        <v>35000</v>
      </c>
      <c r="F5" s="61">
        <v>43</v>
      </c>
      <c r="G5" s="62">
        <v>45575</v>
      </c>
      <c r="H5" s="62">
        <f t="shared" ref="H5:H11" si="3">G5+$K$2</f>
        <v>45582</v>
      </c>
      <c r="I5" s="62">
        <v>45585</v>
      </c>
      <c r="J5" s="65">
        <f>IF(G5=I5,10%*(F5*E5),0)</f>
        <v>0</v>
      </c>
      <c r="K5" s="65">
        <f t="shared" ref="K5:K11" si="4">IF(I5&gt;H5,2%*(F5*E5),0)</f>
        <v>30100</v>
      </c>
      <c r="L5" s="66">
        <f t="shared" ref="L5:L11" si="5">F5*E5-J5+K5</f>
        <v>1535100</v>
      </c>
    </row>
    <row r="6" spans="1:12" ht="18.600000000000001" x14ac:dyDescent="0.45">
      <c r="A6" s="61">
        <v>3</v>
      </c>
      <c r="B6" s="61" t="s">
        <v>214</v>
      </c>
      <c r="C6" s="59" t="str">
        <f t="shared" si="0"/>
        <v>KEYBOARD</v>
      </c>
      <c r="D6" s="59" t="str">
        <f t="shared" si="1"/>
        <v>LUAR</v>
      </c>
      <c r="E6" s="65">
        <f t="shared" si="2"/>
        <v>55000</v>
      </c>
      <c r="F6" s="61">
        <v>40</v>
      </c>
      <c r="G6" s="62">
        <v>45577</v>
      </c>
      <c r="H6" s="62">
        <f t="shared" si="3"/>
        <v>45584</v>
      </c>
      <c r="I6" s="62">
        <v>45577</v>
      </c>
      <c r="J6" s="65">
        <f t="shared" ref="J6:J11" si="6">IF(G6=I6,10%*(F6*E6),0)</f>
        <v>220000</v>
      </c>
      <c r="K6" s="65">
        <f t="shared" si="4"/>
        <v>0</v>
      </c>
      <c r="L6" s="66">
        <f t="shared" si="5"/>
        <v>1980000</v>
      </c>
    </row>
    <row r="7" spans="1:12" ht="18.600000000000001" x14ac:dyDescent="0.45">
      <c r="A7" s="61">
        <v>4</v>
      </c>
      <c r="B7" s="61" t="s">
        <v>213</v>
      </c>
      <c r="C7" s="59" t="str">
        <f t="shared" si="0"/>
        <v>KEYBOARD</v>
      </c>
      <c r="D7" s="59" t="str">
        <f t="shared" si="1"/>
        <v>BLANK</v>
      </c>
      <c r="E7" s="65">
        <f t="shared" si="2"/>
        <v>55000</v>
      </c>
      <c r="F7" s="61">
        <v>20</v>
      </c>
      <c r="G7" s="62">
        <v>45577</v>
      </c>
      <c r="H7" s="62">
        <f t="shared" si="3"/>
        <v>45584</v>
      </c>
      <c r="I7" s="62">
        <v>45579</v>
      </c>
      <c r="J7" s="65">
        <f t="shared" si="6"/>
        <v>0</v>
      </c>
      <c r="K7" s="65">
        <f t="shared" si="4"/>
        <v>0</v>
      </c>
      <c r="L7" s="66">
        <f t="shared" si="5"/>
        <v>1100000</v>
      </c>
    </row>
    <row r="8" spans="1:12" ht="18.600000000000001" x14ac:dyDescent="0.45">
      <c r="A8" s="61">
        <v>5</v>
      </c>
      <c r="B8" s="61" t="s">
        <v>351</v>
      </c>
      <c r="C8" s="59" t="str">
        <f t="shared" si="0"/>
        <v>STABILIZER</v>
      </c>
      <c r="D8" s="59" t="str">
        <f t="shared" si="1"/>
        <v>LOKAL</v>
      </c>
      <c r="E8" s="65">
        <f t="shared" si="2"/>
        <v>65000</v>
      </c>
      <c r="F8" s="61">
        <v>50</v>
      </c>
      <c r="G8" s="62">
        <v>45578</v>
      </c>
      <c r="H8" s="62">
        <f t="shared" si="3"/>
        <v>45585</v>
      </c>
      <c r="I8" s="62">
        <v>45578</v>
      </c>
      <c r="J8" s="65">
        <f t="shared" si="6"/>
        <v>325000</v>
      </c>
      <c r="K8" s="65">
        <f t="shared" si="4"/>
        <v>0</v>
      </c>
      <c r="L8" s="66">
        <f t="shared" si="5"/>
        <v>2925000</v>
      </c>
    </row>
    <row r="9" spans="1:12" ht="18.600000000000001" x14ac:dyDescent="0.45">
      <c r="A9" s="61">
        <v>6</v>
      </c>
      <c r="B9" s="61" t="s">
        <v>352</v>
      </c>
      <c r="C9" s="59" t="str">
        <f t="shared" si="0"/>
        <v>MOUSE</v>
      </c>
      <c r="D9" s="59" t="str">
        <f t="shared" si="1"/>
        <v>LUAR</v>
      </c>
      <c r="E9" s="65">
        <f t="shared" si="2"/>
        <v>35000</v>
      </c>
      <c r="F9" s="61">
        <v>56</v>
      </c>
      <c r="G9" s="62">
        <v>45580</v>
      </c>
      <c r="H9" s="62">
        <f t="shared" si="3"/>
        <v>45587</v>
      </c>
      <c r="I9" s="62">
        <v>45581</v>
      </c>
      <c r="J9" s="65">
        <f t="shared" si="6"/>
        <v>0</v>
      </c>
      <c r="K9" s="65">
        <f t="shared" si="4"/>
        <v>0</v>
      </c>
      <c r="L9" s="66">
        <f t="shared" si="5"/>
        <v>1960000</v>
      </c>
    </row>
    <row r="10" spans="1:12" ht="18.600000000000001" x14ac:dyDescent="0.45">
      <c r="A10" s="61">
        <v>7</v>
      </c>
      <c r="B10" s="61" t="s">
        <v>353</v>
      </c>
      <c r="C10" s="59" t="str">
        <f t="shared" si="0"/>
        <v>STABILIZER</v>
      </c>
      <c r="D10" s="59" t="str">
        <f t="shared" si="1"/>
        <v>LUAR</v>
      </c>
      <c r="E10" s="65">
        <f t="shared" si="2"/>
        <v>65000</v>
      </c>
      <c r="F10" s="61">
        <v>120</v>
      </c>
      <c r="G10" s="62">
        <v>45582</v>
      </c>
      <c r="H10" s="62">
        <f t="shared" si="3"/>
        <v>45589</v>
      </c>
      <c r="I10" s="62">
        <v>45582</v>
      </c>
      <c r="J10" s="65">
        <f t="shared" si="6"/>
        <v>780000</v>
      </c>
      <c r="K10" s="65">
        <f t="shared" si="4"/>
        <v>0</v>
      </c>
      <c r="L10" s="66">
        <f t="shared" si="5"/>
        <v>7020000</v>
      </c>
    </row>
    <row r="11" spans="1:12" ht="18.600000000000001" x14ac:dyDescent="0.45">
      <c r="A11" s="61">
        <v>8</v>
      </c>
      <c r="B11" s="61" t="s">
        <v>354</v>
      </c>
      <c r="C11" s="59" t="str">
        <f t="shared" si="0"/>
        <v>STABILIZER</v>
      </c>
      <c r="D11" s="59" t="str">
        <f t="shared" si="1"/>
        <v>BLANK</v>
      </c>
      <c r="E11" s="65">
        <f t="shared" si="2"/>
        <v>65000</v>
      </c>
      <c r="F11" s="61">
        <v>34</v>
      </c>
      <c r="G11" s="62">
        <v>45584</v>
      </c>
      <c r="H11" s="62">
        <f t="shared" si="3"/>
        <v>45591</v>
      </c>
      <c r="I11" s="62">
        <v>45586</v>
      </c>
      <c r="J11" s="65">
        <f t="shared" si="6"/>
        <v>0</v>
      </c>
      <c r="K11" s="65">
        <f t="shared" si="4"/>
        <v>0</v>
      </c>
      <c r="L11" s="66">
        <f t="shared" si="5"/>
        <v>2210000</v>
      </c>
    </row>
    <row r="12" spans="1:12" ht="18.600000000000001" x14ac:dyDescent="0.4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</row>
    <row r="13" spans="1:12" ht="19.8" x14ac:dyDescent="0.5">
      <c r="A13" s="63" t="s">
        <v>355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 ht="18.600000000000001" x14ac:dyDescent="0.45">
      <c r="A14" s="57" t="s">
        <v>356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1:12" ht="18.600000000000001" x14ac:dyDescent="0.45">
      <c r="A15" s="57" t="s">
        <v>357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spans="1:12" ht="18.600000000000001" x14ac:dyDescent="0.45">
      <c r="A16" s="57" t="s">
        <v>358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</row>
    <row r="17" spans="1:12" ht="18.600000000000001" x14ac:dyDescent="0.45">
      <c r="A17" s="57" t="s">
        <v>359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spans="1:12" ht="18.600000000000001" x14ac:dyDescent="0.45">
      <c r="A18" s="57" t="s">
        <v>360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</row>
    <row r="19" spans="1:12" ht="18.600000000000001" x14ac:dyDescent="0.45">
      <c r="A19" s="57" t="s">
        <v>361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</row>
    <row r="22" spans="1:12" ht="39.6" x14ac:dyDescent="0.3">
      <c r="B22" s="60" t="s">
        <v>343</v>
      </c>
      <c r="C22" s="64" t="s">
        <v>62</v>
      </c>
      <c r="D22" s="64" t="s">
        <v>362</v>
      </c>
      <c r="E22" s="64" t="s">
        <v>363</v>
      </c>
      <c r="F22" s="64" t="s">
        <v>181</v>
      </c>
      <c r="G22" s="64" t="s">
        <v>66</v>
      </c>
    </row>
    <row r="23" spans="1:12" ht="18.600000000000001" x14ac:dyDescent="0.45">
      <c r="B23" s="59" t="s">
        <v>364</v>
      </c>
      <c r="C23" s="26">
        <f>SUMIF($D$4:$D$11,B23,$L$4:$L$11)</f>
        <v>4795000</v>
      </c>
      <c r="D23" s="1"/>
      <c r="E23" s="1"/>
      <c r="F23" s="1"/>
      <c r="G23" s="1"/>
    </row>
    <row r="24" spans="1:12" ht="18.600000000000001" x14ac:dyDescent="0.45">
      <c r="B24" s="59" t="s">
        <v>365</v>
      </c>
      <c r="C24" s="26">
        <f t="shared" ref="C24:C25" si="7">SUMIF($D$4:$D$11,B24,$L$4:$L$11)</f>
        <v>10960000</v>
      </c>
      <c r="D24" s="1"/>
      <c r="E24" s="1"/>
      <c r="F24" s="1"/>
      <c r="G24" s="1"/>
    </row>
    <row r="25" spans="1:12" ht="18.600000000000001" x14ac:dyDescent="0.45">
      <c r="B25" s="59" t="s">
        <v>366</v>
      </c>
      <c r="C25" s="26">
        <f t="shared" si="7"/>
        <v>4845100</v>
      </c>
      <c r="D25" s="1"/>
      <c r="E25" s="1"/>
      <c r="F25" s="1"/>
      <c r="G25" s="1"/>
    </row>
    <row r="27" spans="1:12" ht="37.200000000000003" x14ac:dyDescent="0.3">
      <c r="B27" s="58" t="s">
        <v>342</v>
      </c>
      <c r="C27" s="64" t="s">
        <v>62</v>
      </c>
      <c r="D27" s="64" t="s">
        <v>362</v>
      </c>
      <c r="E27" s="64" t="s">
        <v>363</v>
      </c>
      <c r="F27" s="64" t="s">
        <v>181</v>
      </c>
      <c r="G27" s="64" t="s">
        <v>66</v>
      </c>
    </row>
    <row r="28" spans="1:12" ht="18.600000000000001" x14ac:dyDescent="0.45">
      <c r="B28" s="59" t="s">
        <v>367</v>
      </c>
      <c r="C28" s="1"/>
      <c r="D28" s="1"/>
      <c r="E28" s="1"/>
      <c r="F28" s="1"/>
      <c r="G28" s="1"/>
    </row>
    <row r="29" spans="1:12" ht="18.600000000000001" x14ac:dyDescent="0.45">
      <c r="B29" s="59" t="s">
        <v>368</v>
      </c>
      <c r="C29" s="1"/>
      <c r="D29" s="1"/>
      <c r="E29" s="1"/>
      <c r="F29" s="1"/>
      <c r="G29" s="1"/>
    </row>
    <row r="30" spans="1:12" ht="18.600000000000001" x14ac:dyDescent="0.45">
      <c r="B30" s="59" t="s">
        <v>369</v>
      </c>
      <c r="C30" s="1"/>
      <c r="D30" s="1"/>
      <c r="E30" s="1"/>
      <c r="F30" s="1"/>
      <c r="G30" s="1"/>
    </row>
  </sheetData>
  <mergeCells count="1">
    <mergeCell ref="A1:L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C989-FFBA-40A5-872E-324A333AACC0}">
  <dimension ref="A1:B5"/>
  <sheetViews>
    <sheetView workbookViewId="0">
      <selection activeCell="B3" sqref="B3"/>
    </sheetView>
  </sheetViews>
  <sheetFormatPr defaultRowHeight="14.4" x14ac:dyDescent="0.3"/>
  <cols>
    <col min="2" max="2" width="12.6640625" customWidth="1"/>
  </cols>
  <sheetData>
    <row r="1" spans="1:2" ht="18.600000000000001" x14ac:dyDescent="0.45">
      <c r="A1" s="57" t="s">
        <v>370</v>
      </c>
      <c r="B1" s="57"/>
    </row>
    <row r="2" spans="1:2" ht="37.200000000000003" x14ac:dyDescent="0.3">
      <c r="A2" s="58" t="s">
        <v>371</v>
      </c>
      <c r="B2" s="58" t="s">
        <v>343</v>
      </c>
    </row>
    <row r="3" spans="1:2" ht="18.600000000000001" x14ac:dyDescent="0.45">
      <c r="A3" s="67" t="s">
        <v>372</v>
      </c>
      <c r="B3" s="59" t="s">
        <v>364</v>
      </c>
    </row>
    <row r="4" spans="1:2" ht="18.600000000000001" x14ac:dyDescent="0.45">
      <c r="A4" s="67" t="s">
        <v>373</v>
      </c>
      <c r="B4" s="59" t="s">
        <v>365</v>
      </c>
    </row>
    <row r="5" spans="1:2" ht="18.600000000000001" x14ac:dyDescent="0.45">
      <c r="A5" s="67" t="s">
        <v>374</v>
      </c>
      <c r="B5" s="59" t="s">
        <v>366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C4C3-5649-4818-ACF9-D1AAEC9CE2BA}">
  <dimension ref="A1:C5"/>
  <sheetViews>
    <sheetView workbookViewId="0">
      <selection sqref="A1:XFD5"/>
    </sheetView>
  </sheetViews>
  <sheetFormatPr defaultRowHeight="14.4" x14ac:dyDescent="0.3"/>
  <sheetData>
    <row r="1" spans="1:3" ht="18.600000000000001" x14ac:dyDescent="0.45">
      <c r="A1" s="57" t="s">
        <v>375</v>
      </c>
      <c r="B1" s="57"/>
      <c r="C1" s="57"/>
    </row>
    <row r="2" spans="1:3" ht="55.8" x14ac:dyDescent="0.3">
      <c r="A2" s="58" t="s">
        <v>341</v>
      </c>
      <c r="B2" s="58" t="s">
        <v>342</v>
      </c>
      <c r="C2" s="58" t="s">
        <v>376</v>
      </c>
    </row>
    <row r="3" spans="1:3" ht="18.600000000000001" x14ac:dyDescent="0.45">
      <c r="A3" s="59" t="s">
        <v>300</v>
      </c>
      <c r="B3" s="59" t="s">
        <v>367</v>
      </c>
      <c r="C3" s="59">
        <v>55000</v>
      </c>
    </row>
    <row r="4" spans="1:3" ht="18.600000000000001" x14ac:dyDescent="0.45">
      <c r="A4" s="59" t="s">
        <v>162</v>
      </c>
      <c r="B4" s="59" t="s">
        <v>368</v>
      </c>
      <c r="C4" s="59">
        <v>35000</v>
      </c>
    </row>
    <row r="5" spans="1:3" ht="18.600000000000001" x14ac:dyDescent="0.45">
      <c r="A5" s="59" t="s">
        <v>163</v>
      </c>
      <c r="B5" s="59" t="s">
        <v>369</v>
      </c>
      <c r="C5" s="59">
        <v>65000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4890-F29A-4C8B-B3C4-51B1B6F7D8D3}">
  <dimension ref="B2:K17"/>
  <sheetViews>
    <sheetView workbookViewId="0">
      <selection activeCell="G10" sqref="G10"/>
    </sheetView>
  </sheetViews>
  <sheetFormatPr defaultRowHeight="14.4" x14ac:dyDescent="0.3"/>
  <cols>
    <col min="3" max="3" width="16.44140625" customWidth="1"/>
    <col min="4" max="4" width="18.44140625" bestFit="1" customWidth="1"/>
    <col min="5" max="5" width="14.44140625" customWidth="1"/>
    <col min="6" max="6" width="21.77734375" customWidth="1"/>
    <col min="7" max="7" width="18.6640625" customWidth="1"/>
    <col min="8" max="9" width="17.6640625" customWidth="1"/>
    <col min="10" max="10" width="13.44140625" bestFit="1" customWidth="1"/>
    <col min="11" max="11" width="14.88671875" customWidth="1"/>
  </cols>
  <sheetData>
    <row r="2" spans="2:11" x14ac:dyDescent="0.3">
      <c r="B2" s="118" t="s">
        <v>377</v>
      </c>
      <c r="C2" s="118"/>
      <c r="D2" s="118"/>
      <c r="E2" s="118"/>
      <c r="F2" s="118"/>
      <c r="G2" s="118"/>
      <c r="H2" s="118"/>
      <c r="I2" s="118"/>
      <c r="J2" s="118"/>
      <c r="K2" s="118"/>
    </row>
    <row r="3" spans="2:11" x14ac:dyDescent="0.3">
      <c r="B3" s="118" t="s">
        <v>379</v>
      </c>
      <c r="C3" s="118"/>
      <c r="D3" s="118"/>
      <c r="E3" s="118"/>
      <c r="F3" s="118"/>
      <c r="G3" s="118"/>
      <c r="H3" s="118"/>
      <c r="I3" s="118"/>
      <c r="J3" s="118"/>
      <c r="K3" s="118"/>
    </row>
    <row r="4" spans="2:11" x14ac:dyDescent="0.3">
      <c r="J4" t="s">
        <v>203</v>
      </c>
      <c r="K4" s="52">
        <v>0.11</v>
      </c>
    </row>
    <row r="5" spans="2:11" x14ac:dyDescent="0.3">
      <c r="J5" t="s">
        <v>386</v>
      </c>
      <c r="K5" s="52">
        <v>0.15</v>
      </c>
    </row>
    <row r="6" spans="2:11" x14ac:dyDescent="0.3">
      <c r="B6" s="47" t="s">
        <v>0</v>
      </c>
      <c r="C6" s="47" t="s">
        <v>380</v>
      </c>
      <c r="D6" s="47" t="s">
        <v>381</v>
      </c>
      <c r="E6" s="47" t="s">
        <v>382</v>
      </c>
      <c r="F6" s="47" t="s">
        <v>383</v>
      </c>
      <c r="G6" s="47" t="s">
        <v>384</v>
      </c>
      <c r="H6" s="47" t="s">
        <v>385</v>
      </c>
      <c r="I6" s="47" t="s">
        <v>258</v>
      </c>
      <c r="J6" s="47" t="s">
        <v>203</v>
      </c>
      <c r="K6" s="47" t="s">
        <v>62</v>
      </c>
    </row>
    <row r="7" spans="2:11" x14ac:dyDescent="0.3">
      <c r="B7" s="1">
        <v>1</v>
      </c>
      <c r="C7" s="1" t="s">
        <v>387</v>
      </c>
      <c r="D7" s="1" t="str">
        <f>VLOOKUP(LEFT('Soal A'!C7,5),TABEL_TIKET,2,0)</f>
        <v>JAKARTA-MEDAN</v>
      </c>
      <c r="E7" s="26">
        <f>VLOOKUP(LEFT('Soal A'!C7,5),TABEL_TIKET,3,0)</f>
        <v>1300000</v>
      </c>
      <c r="F7" s="1" t="str">
        <f>RIGHT(C7,5)</f>
        <v>07.00</v>
      </c>
      <c r="G7" s="68">
        <v>45760</v>
      </c>
      <c r="H7" s="1">
        <v>12</v>
      </c>
      <c r="I7" s="26">
        <f>IF(D7="JAKARTA-MAKASSAR",E7*$K$5,0)</f>
        <v>0</v>
      </c>
      <c r="J7" s="26">
        <f>$K$4*(E7*H7)</f>
        <v>1716000</v>
      </c>
      <c r="K7" s="26">
        <f>E7*H7+J7-I7</f>
        <v>17316000</v>
      </c>
    </row>
    <row r="8" spans="2:11" x14ac:dyDescent="0.3">
      <c r="B8" s="1">
        <v>2</v>
      </c>
      <c r="C8" s="1" t="s">
        <v>388</v>
      </c>
      <c r="D8" s="1" t="str">
        <f>VLOOKUP(LEFT('Soal A'!C8,5),TABEL_TIKET,2,0)</f>
        <v>JAKARTA-LOMBOK</v>
      </c>
      <c r="E8" s="26">
        <f>VLOOKUP(LEFT('Soal A'!C8,5),TABEL_TIKET,3,0)</f>
        <v>950000</v>
      </c>
      <c r="F8" s="1" t="str">
        <f t="shared" ref="F8:F13" si="0">RIGHT(C8,5)</f>
        <v>07.00</v>
      </c>
      <c r="G8" s="68">
        <v>45760</v>
      </c>
      <c r="H8" s="1">
        <v>10</v>
      </c>
      <c r="I8" s="26">
        <f t="shared" ref="I8:I13" si="1">IF(D8="JAKARTA-MAKASSAR",E8*$K$5,0)</f>
        <v>0</v>
      </c>
      <c r="J8" s="26">
        <f t="shared" ref="J8:J13" si="2">$K$4*(E8*H8)</f>
        <v>1045000</v>
      </c>
      <c r="K8" s="26">
        <f t="shared" ref="K8:K13" si="3">E8*H8+J8-I8</f>
        <v>10545000</v>
      </c>
    </row>
    <row r="9" spans="2:11" x14ac:dyDescent="0.3">
      <c r="B9" s="1">
        <v>3</v>
      </c>
      <c r="C9" s="1" t="s">
        <v>389</v>
      </c>
      <c r="D9" s="1" t="str">
        <f>VLOOKUP(LEFT('Soal A'!C9,5),TABEL_TIKET,2,0)</f>
        <v>JAKARTA-MAKASSAR</v>
      </c>
      <c r="E9" s="26">
        <f>VLOOKUP(LEFT('Soal A'!C9,5),TABEL_TIKET,3,0)</f>
        <v>1750000</v>
      </c>
      <c r="F9" s="1" t="str">
        <f t="shared" si="0"/>
        <v>07.00</v>
      </c>
      <c r="G9" s="68">
        <v>45760</v>
      </c>
      <c r="H9" s="1">
        <v>15</v>
      </c>
      <c r="I9" s="26">
        <f t="shared" si="1"/>
        <v>262500</v>
      </c>
      <c r="J9" s="26">
        <f t="shared" si="2"/>
        <v>2887500</v>
      </c>
      <c r="K9" s="26">
        <f t="shared" si="3"/>
        <v>28875000</v>
      </c>
    </row>
    <row r="10" spans="2:11" x14ac:dyDescent="0.3">
      <c r="B10" s="1">
        <v>4</v>
      </c>
      <c r="C10" s="1" t="s">
        <v>390</v>
      </c>
      <c r="D10" s="1" t="str">
        <f>VLOOKUP(LEFT('Soal A'!C10,5),TABEL_TIKET,2,0)</f>
        <v>JAKARTA-PADANG</v>
      </c>
      <c r="E10" s="26">
        <f>VLOOKUP(LEFT('Soal A'!C10,5),TABEL_TIKET,3,0)</f>
        <v>940000</v>
      </c>
      <c r="F10" s="1" t="str">
        <f t="shared" si="0"/>
        <v>10.45</v>
      </c>
      <c r="G10" s="68">
        <v>45760</v>
      </c>
      <c r="H10" s="1">
        <v>15</v>
      </c>
      <c r="I10" s="26">
        <f t="shared" si="1"/>
        <v>0</v>
      </c>
      <c r="J10" s="26">
        <f t="shared" si="2"/>
        <v>1551000</v>
      </c>
      <c r="K10" s="26">
        <f t="shared" si="3"/>
        <v>15651000</v>
      </c>
    </row>
    <row r="11" spans="2:11" x14ac:dyDescent="0.3">
      <c r="B11" s="1">
        <v>5</v>
      </c>
      <c r="C11" s="1" t="s">
        <v>391</v>
      </c>
      <c r="D11" s="1" t="str">
        <f>VLOOKUP(LEFT('Soal A'!C11,5),TABEL_TIKET,2,0)</f>
        <v>JAKARTA-SEMARANG</v>
      </c>
      <c r="E11" s="26">
        <f>VLOOKUP(LEFT('Soal A'!C11,5),TABEL_TIKET,3,0)</f>
        <v>550000</v>
      </c>
      <c r="F11" s="1" t="str">
        <f t="shared" si="0"/>
        <v>10.45</v>
      </c>
      <c r="G11" s="68">
        <v>45760</v>
      </c>
      <c r="H11" s="1">
        <v>10</v>
      </c>
      <c r="I11" s="26">
        <f t="shared" si="1"/>
        <v>0</v>
      </c>
      <c r="J11" s="26">
        <f t="shared" si="2"/>
        <v>605000</v>
      </c>
      <c r="K11" s="26">
        <f t="shared" si="3"/>
        <v>6105000</v>
      </c>
    </row>
    <row r="12" spans="2:11" x14ac:dyDescent="0.3">
      <c r="B12" s="1">
        <v>6</v>
      </c>
      <c r="C12" s="1" t="s">
        <v>388</v>
      </c>
      <c r="D12" s="1" t="str">
        <f>VLOOKUP(LEFT('Soal A'!C12,5),TABEL_TIKET,2,0)</f>
        <v>JAKARTA-LOMBOK</v>
      </c>
      <c r="E12" s="26">
        <f>VLOOKUP(LEFT('Soal A'!C12,5),TABEL_TIKET,3,0)</f>
        <v>950000</v>
      </c>
      <c r="F12" s="1" t="str">
        <f t="shared" si="0"/>
        <v>07.00</v>
      </c>
      <c r="G12" s="68">
        <v>45760</v>
      </c>
      <c r="H12" s="1">
        <v>10</v>
      </c>
      <c r="I12" s="26">
        <f t="shared" si="1"/>
        <v>0</v>
      </c>
      <c r="J12" s="26">
        <f t="shared" si="2"/>
        <v>1045000</v>
      </c>
      <c r="K12" s="26">
        <f t="shared" si="3"/>
        <v>10545000</v>
      </c>
    </row>
    <row r="13" spans="2:11" x14ac:dyDescent="0.3">
      <c r="B13" s="1">
        <v>7</v>
      </c>
      <c r="C13" s="1" t="s">
        <v>389</v>
      </c>
      <c r="D13" s="1" t="str">
        <f>VLOOKUP(LEFT('Soal A'!C13,5),TABEL_TIKET,2,0)</f>
        <v>JAKARTA-MAKASSAR</v>
      </c>
      <c r="E13" s="26">
        <f>VLOOKUP(LEFT('Soal A'!C13,5),TABEL_TIKET,3,0)</f>
        <v>1750000</v>
      </c>
      <c r="F13" s="1" t="str">
        <f t="shared" si="0"/>
        <v>07.00</v>
      </c>
      <c r="G13" s="68">
        <v>45760</v>
      </c>
      <c r="H13" s="1">
        <v>11</v>
      </c>
      <c r="I13" s="26">
        <f t="shared" si="1"/>
        <v>262500</v>
      </c>
      <c r="J13" s="26">
        <f t="shared" si="2"/>
        <v>2117500</v>
      </c>
      <c r="K13" s="26">
        <f t="shared" si="3"/>
        <v>21105000</v>
      </c>
    </row>
    <row r="14" spans="2:11" x14ac:dyDescent="0.3">
      <c r="H14" s="116" t="s">
        <v>392</v>
      </c>
      <c r="I14" s="117"/>
      <c r="J14" s="26">
        <f>SUM(J7:J13)</f>
        <v>10967000</v>
      </c>
      <c r="K14" s="26">
        <f>SUM(K7:K13)</f>
        <v>110142000</v>
      </c>
    </row>
    <row r="15" spans="2:11" x14ac:dyDescent="0.3">
      <c r="H15" s="116" t="s">
        <v>393</v>
      </c>
      <c r="I15" s="117"/>
      <c r="J15" s="26">
        <f>MAX(J7:J13)</f>
        <v>2887500</v>
      </c>
      <c r="K15" s="26">
        <f>MAX(K7:K13)</f>
        <v>28875000</v>
      </c>
    </row>
    <row r="16" spans="2:11" x14ac:dyDescent="0.3">
      <c r="H16" s="116" t="s">
        <v>394</v>
      </c>
      <c r="I16" s="117"/>
      <c r="J16" s="26">
        <f>MIN(J7:J13)</f>
        <v>605000</v>
      </c>
      <c r="K16" s="26">
        <f>MIN(K7:K13)</f>
        <v>6105000</v>
      </c>
    </row>
    <row r="17" spans="8:11" x14ac:dyDescent="0.3">
      <c r="H17" s="116" t="s">
        <v>395</v>
      </c>
      <c r="I17" s="117"/>
      <c r="J17" s="26">
        <f>AVERAGE(J7:J13)</f>
        <v>1566714.2857142857</v>
      </c>
      <c r="K17" s="26">
        <f>AVERAGE(K7:K13)</f>
        <v>15734571.428571429</v>
      </c>
    </row>
  </sheetData>
  <mergeCells count="6">
    <mergeCell ref="H17:I17"/>
    <mergeCell ref="B2:K2"/>
    <mergeCell ref="B3:K3"/>
    <mergeCell ref="H14:I14"/>
    <mergeCell ref="H15:I15"/>
    <mergeCell ref="H16:I1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F733-316A-45BD-975E-A31638A2B22F}">
  <dimension ref="A1:C6"/>
  <sheetViews>
    <sheetView workbookViewId="0">
      <selection activeCell="A2" sqref="A1:C6"/>
    </sheetView>
  </sheetViews>
  <sheetFormatPr defaultRowHeight="14.4" x14ac:dyDescent="0.3"/>
  <cols>
    <col min="2" max="2" width="18.44140625" bestFit="1" customWidth="1"/>
    <col min="3" max="3" width="12.33203125" customWidth="1"/>
  </cols>
  <sheetData>
    <row r="1" spans="1:3" x14ac:dyDescent="0.3">
      <c r="A1" s="53" t="s">
        <v>164</v>
      </c>
      <c r="B1" s="53" t="s">
        <v>381</v>
      </c>
      <c r="C1" s="53" t="s">
        <v>382</v>
      </c>
    </row>
    <row r="2" spans="1:3" x14ac:dyDescent="0.3">
      <c r="A2" s="1" t="s">
        <v>396</v>
      </c>
      <c r="B2" s="1" t="s">
        <v>401</v>
      </c>
      <c r="C2" s="26">
        <v>1300000</v>
      </c>
    </row>
    <row r="3" spans="1:3" x14ac:dyDescent="0.3">
      <c r="A3" s="1" t="s">
        <v>397</v>
      </c>
      <c r="B3" s="1" t="s">
        <v>402</v>
      </c>
      <c r="C3" s="26">
        <v>950000</v>
      </c>
    </row>
    <row r="4" spans="1:3" x14ac:dyDescent="0.3">
      <c r="A4" s="1" t="s">
        <v>398</v>
      </c>
      <c r="B4" s="1" t="s">
        <v>403</v>
      </c>
      <c r="C4" s="26">
        <v>1750000</v>
      </c>
    </row>
    <row r="5" spans="1:3" x14ac:dyDescent="0.3">
      <c r="A5" s="1" t="s">
        <v>399</v>
      </c>
      <c r="B5" s="1" t="s">
        <v>404</v>
      </c>
      <c r="C5" s="26">
        <v>940000</v>
      </c>
    </row>
    <row r="6" spans="1:3" x14ac:dyDescent="0.3">
      <c r="A6" s="1" t="s">
        <v>400</v>
      </c>
      <c r="B6" s="1" t="s">
        <v>405</v>
      </c>
      <c r="C6" s="26">
        <v>550000</v>
      </c>
    </row>
  </sheetData>
  <phoneticPr fontId="1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63B8-C3E8-473A-BF78-5BB28A7F1754}">
  <dimension ref="A1:K16"/>
  <sheetViews>
    <sheetView workbookViewId="0">
      <selection activeCell="L6" sqref="K6:L6"/>
    </sheetView>
  </sheetViews>
  <sheetFormatPr defaultRowHeight="14.4" x14ac:dyDescent="0.3"/>
  <cols>
    <col min="2" max="2" width="10.5546875" bestFit="1" customWidth="1"/>
    <col min="3" max="3" width="21.5546875" bestFit="1" customWidth="1"/>
    <col min="4" max="4" width="30.109375" bestFit="1" customWidth="1"/>
    <col min="6" max="6" width="11.109375" bestFit="1" customWidth="1"/>
    <col min="7" max="7" width="12.88671875" bestFit="1" customWidth="1"/>
    <col min="8" max="8" width="13.77734375" bestFit="1" customWidth="1"/>
    <col min="9" max="9" width="11.109375" bestFit="1" customWidth="1"/>
    <col min="10" max="10" width="10.88671875" bestFit="1" customWidth="1"/>
    <col min="11" max="11" width="12.33203125" bestFit="1" customWidth="1"/>
  </cols>
  <sheetData>
    <row r="1" spans="1:11" x14ac:dyDescent="0.3">
      <c r="A1" s="118" t="s">
        <v>406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x14ac:dyDescent="0.3">
      <c r="A2" s="118" t="s">
        <v>378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</row>
    <row r="3" spans="1:11" x14ac:dyDescent="0.3">
      <c r="J3" t="s">
        <v>428</v>
      </c>
      <c r="K3" s="52">
        <v>0.11</v>
      </c>
    </row>
    <row r="4" spans="1:11" x14ac:dyDescent="0.3">
      <c r="J4" t="s">
        <v>427</v>
      </c>
      <c r="K4" s="52">
        <v>0.15</v>
      </c>
    </row>
    <row r="5" spans="1:11" x14ac:dyDescent="0.3">
      <c r="A5" s="47" t="s">
        <v>195</v>
      </c>
      <c r="B5" s="47" t="s">
        <v>380</v>
      </c>
      <c r="C5" s="47" t="s">
        <v>407</v>
      </c>
      <c r="D5" s="47" t="s">
        <v>408</v>
      </c>
      <c r="E5" s="47" t="s">
        <v>409</v>
      </c>
      <c r="F5" s="47" t="s">
        <v>382</v>
      </c>
      <c r="G5" s="47" t="s">
        <v>384</v>
      </c>
      <c r="H5" s="47" t="s">
        <v>385</v>
      </c>
      <c r="I5" s="47" t="s">
        <v>258</v>
      </c>
      <c r="J5" s="47" t="s">
        <v>203</v>
      </c>
      <c r="K5" s="47" t="s">
        <v>62</v>
      </c>
    </row>
    <row r="6" spans="1:11" x14ac:dyDescent="0.3">
      <c r="A6" s="1">
        <v>1</v>
      </c>
      <c r="B6" s="1" t="s">
        <v>410</v>
      </c>
      <c r="C6" s="1" t="str">
        <f t="shared" ref="C6:C12" si="0">VLOOKUP(B6,ttb_krt,2,0)</f>
        <v>ARGO BROMO ANGGREK</v>
      </c>
      <c r="D6" s="1" t="str">
        <f t="shared" ref="D6:D12" si="1">VLOOKUP(B6,ttb_krt,3,0)</f>
        <v>GAMBIR-SURABAYA TURI</v>
      </c>
      <c r="E6" s="1" t="str">
        <f>IF(MID(B6,4,2)="ES","Eksekutif",IF(MID(B6,4,2)="EK","Ekonomi","Bisnis"))</f>
        <v>Eksekutif</v>
      </c>
      <c r="F6" s="26">
        <f t="shared" ref="F6:F12" si="2">VLOOKUP(B6,ttb_krt,4,0)</f>
        <v>73000</v>
      </c>
      <c r="G6" s="68">
        <v>45760</v>
      </c>
      <c r="H6" s="1">
        <v>12</v>
      </c>
      <c r="I6" s="26">
        <f>IF(OR(E6="Eksekutif",E6="Bisnis"),$K$4*F6,0)</f>
        <v>10950</v>
      </c>
      <c r="J6" s="26">
        <f>$K$3*F6*H6</f>
        <v>96360</v>
      </c>
      <c r="K6" s="26">
        <f>(F6*H6)-I6+J6</f>
        <v>961410</v>
      </c>
    </row>
    <row r="7" spans="1:11" x14ac:dyDescent="0.3">
      <c r="A7" s="1">
        <v>2</v>
      </c>
      <c r="B7" s="1" t="s">
        <v>411</v>
      </c>
      <c r="C7" s="1" t="str">
        <f t="shared" si="0"/>
        <v>PURWOJAYA</v>
      </c>
      <c r="D7" s="1" t="str">
        <f t="shared" si="1"/>
        <v>GAMBIR-CILACAP</v>
      </c>
      <c r="E7" s="1" t="str">
        <f t="shared" ref="E7:E12" si="3">IF(MID(B7,4,2)="ES","Eksekutif",IF(MID(B7,4,2)="EK","Ekonomi","Bisnis"))</f>
        <v>Eksekutif</v>
      </c>
      <c r="F7" s="26">
        <f t="shared" si="2"/>
        <v>73000</v>
      </c>
      <c r="G7" s="68">
        <v>45760</v>
      </c>
      <c r="H7" s="1">
        <v>10</v>
      </c>
      <c r="I7" s="26">
        <f t="shared" ref="I7:I12" si="4">IF(OR(E7="Eksekutif",E7="Bisnis"),$K$4*F7,0)</f>
        <v>10950</v>
      </c>
      <c r="J7" s="26">
        <f t="shared" ref="J7:J12" si="5">$K$3*F7*H7</f>
        <v>80300</v>
      </c>
      <c r="K7" s="26">
        <f t="shared" ref="K7:K12" si="6">(F7*H7)-I7+J7</f>
        <v>799350</v>
      </c>
    </row>
    <row r="8" spans="1:11" x14ac:dyDescent="0.3">
      <c r="A8" s="1">
        <v>3</v>
      </c>
      <c r="B8" s="1" t="s">
        <v>412</v>
      </c>
      <c r="C8" s="1" t="str">
        <f t="shared" si="0"/>
        <v>COREBON EKSPRESS</v>
      </c>
      <c r="D8" s="1" t="str">
        <f t="shared" si="1"/>
        <v>GAMBIR-CIREBON</v>
      </c>
      <c r="E8" s="1" t="str">
        <f t="shared" si="3"/>
        <v>Ekonomi</v>
      </c>
      <c r="F8" s="26">
        <f t="shared" si="2"/>
        <v>73000</v>
      </c>
      <c r="G8" s="68">
        <v>45760</v>
      </c>
      <c r="H8" s="1">
        <v>15</v>
      </c>
      <c r="I8" s="26">
        <f t="shared" si="4"/>
        <v>0</v>
      </c>
      <c r="J8" s="26">
        <f t="shared" si="5"/>
        <v>120450</v>
      </c>
      <c r="K8" s="26">
        <f t="shared" si="6"/>
        <v>1215450</v>
      </c>
    </row>
    <row r="9" spans="1:11" x14ac:dyDescent="0.3">
      <c r="A9" s="1">
        <v>4</v>
      </c>
      <c r="B9" s="1" t="s">
        <v>412</v>
      </c>
      <c r="C9" s="1" t="str">
        <f t="shared" si="0"/>
        <v>COREBON EKSPRESS</v>
      </c>
      <c r="D9" s="1" t="str">
        <f t="shared" si="1"/>
        <v>GAMBIR-CIREBON</v>
      </c>
      <c r="E9" s="1" t="str">
        <f t="shared" si="3"/>
        <v>Ekonomi</v>
      </c>
      <c r="F9" s="26">
        <f t="shared" si="2"/>
        <v>73000</v>
      </c>
      <c r="G9" s="68">
        <v>45760</v>
      </c>
      <c r="H9" s="1">
        <v>15</v>
      </c>
      <c r="I9" s="26">
        <f t="shared" si="4"/>
        <v>0</v>
      </c>
      <c r="J9" s="26">
        <f t="shared" si="5"/>
        <v>120450</v>
      </c>
      <c r="K9" s="26">
        <f t="shared" si="6"/>
        <v>1215450</v>
      </c>
    </row>
    <row r="10" spans="1:11" x14ac:dyDescent="0.3">
      <c r="A10" s="1">
        <v>5</v>
      </c>
      <c r="B10" s="1" t="s">
        <v>413</v>
      </c>
      <c r="C10" s="1" t="str">
        <f t="shared" si="0"/>
        <v>TEGAL BAHARI</v>
      </c>
      <c r="D10" s="1" t="str">
        <f t="shared" si="1"/>
        <v>GAMBIR-TEGAL</v>
      </c>
      <c r="E10" s="1" t="str">
        <f t="shared" si="3"/>
        <v>Eksekutif</v>
      </c>
      <c r="F10" s="26">
        <f t="shared" si="2"/>
        <v>73000</v>
      </c>
      <c r="G10" s="68">
        <v>45760</v>
      </c>
      <c r="H10" s="1">
        <v>10</v>
      </c>
      <c r="I10" s="26">
        <f t="shared" si="4"/>
        <v>10950</v>
      </c>
      <c r="J10" s="26">
        <f t="shared" si="5"/>
        <v>80300</v>
      </c>
      <c r="K10" s="26">
        <f t="shared" si="6"/>
        <v>799350</v>
      </c>
    </row>
    <row r="11" spans="1:11" x14ac:dyDescent="0.3">
      <c r="A11" s="1">
        <v>6</v>
      </c>
      <c r="B11" s="1" t="s">
        <v>414</v>
      </c>
      <c r="C11" s="1" t="str">
        <f t="shared" si="0"/>
        <v>GUMARANG</v>
      </c>
      <c r="D11" s="1" t="str">
        <f t="shared" si="1"/>
        <v>PASAR SENEN-SURABAYA PSR TURI</v>
      </c>
      <c r="E11" s="1" t="str">
        <f t="shared" si="3"/>
        <v>Bisnis</v>
      </c>
      <c r="F11" s="26">
        <f t="shared" si="2"/>
        <v>73000</v>
      </c>
      <c r="G11" s="68">
        <v>45760</v>
      </c>
      <c r="H11" s="1">
        <v>10</v>
      </c>
      <c r="I11" s="26">
        <f t="shared" si="4"/>
        <v>10950</v>
      </c>
      <c r="J11" s="26">
        <f t="shared" si="5"/>
        <v>80300</v>
      </c>
      <c r="K11" s="26">
        <f t="shared" si="6"/>
        <v>799350</v>
      </c>
    </row>
    <row r="12" spans="1:11" x14ac:dyDescent="0.3">
      <c r="A12" s="1">
        <v>7</v>
      </c>
      <c r="B12" s="1" t="s">
        <v>413</v>
      </c>
      <c r="C12" s="1" t="str">
        <f t="shared" si="0"/>
        <v>TEGAL BAHARI</v>
      </c>
      <c r="D12" s="1" t="str">
        <f t="shared" si="1"/>
        <v>GAMBIR-TEGAL</v>
      </c>
      <c r="E12" s="1" t="str">
        <f t="shared" si="3"/>
        <v>Eksekutif</v>
      </c>
      <c r="F12" s="26">
        <f t="shared" si="2"/>
        <v>73000</v>
      </c>
      <c r="G12" s="68">
        <v>45760</v>
      </c>
      <c r="H12" s="1">
        <v>11</v>
      </c>
      <c r="I12" s="26">
        <f t="shared" si="4"/>
        <v>10950</v>
      </c>
      <c r="J12" s="26">
        <f t="shared" si="5"/>
        <v>88330</v>
      </c>
      <c r="K12" s="26">
        <f t="shared" si="6"/>
        <v>880380</v>
      </c>
    </row>
    <row r="13" spans="1:11" x14ac:dyDescent="0.3">
      <c r="H13" s="119" t="s">
        <v>392</v>
      </c>
      <c r="I13" s="119"/>
      <c r="J13" s="26">
        <f>SUM(J6:J12)</f>
        <v>666490</v>
      </c>
      <c r="K13" s="26">
        <f>SUM(K6:K12)</f>
        <v>6670740</v>
      </c>
    </row>
    <row r="14" spans="1:11" x14ac:dyDescent="0.3">
      <c r="H14" s="119" t="s">
        <v>393</v>
      </c>
      <c r="I14" s="119"/>
      <c r="J14" s="26">
        <f>MAX(J6:J12)</f>
        <v>120450</v>
      </c>
      <c r="K14" s="26">
        <f>MAX(K6:K12)</f>
        <v>1215450</v>
      </c>
    </row>
    <row r="15" spans="1:11" x14ac:dyDescent="0.3">
      <c r="H15" s="119" t="s">
        <v>394</v>
      </c>
      <c r="I15" s="119"/>
      <c r="J15" s="26">
        <f>MIN(J6:J12)</f>
        <v>80300</v>
      </c>
      <c r="K15" s="26">
        <f>MIN(K6:K12)</f>
        <v>799350</v>
      </c>
    </row>
    <row r="16" spans="1:11" x14ac:dyDescent="0.3">
      <c r="H16" s="119" t="s">
        <v>395</v>
      </c>
      <c r="I16" s="119"/>
      <c r="J16" s="26">
        <f>AVERAGE(J6:J15)</f>
        <v>153373</v>
      </c>
      <c r="K16" s="26">
        <f>AVERAGE(K6:K12)</f>
        <v>952962.85714285716</v>
      </c>
    </row>
  </sheetData>
  <mergeCells count="6">
    <mergeCell ref="H13:I13"/>
    <mergeCell ref="H14:I14"/>
    <mergeCell ref="H15:I15"/>
    <mergeCell ref="H16:I16"/>
    <mergeCell ref="A1:K1"/>
    <mergeCell ref="A2:K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2CF6-BA80-41FF-9865-B3014D6B787E}">
  <dimension ref="A1:D6"/>
  <sheetViews>
    <sheetView workbookViewId="0">
      <selection activeCell="A2" sqref="A2"/>
    </sheetView>
  </sheetViews>
  <sheetFormatPr defaultRowHeight="14.4" x14ac:dyDescent="0.3"/>
  <cols>
    <col min="2" max="2" width="21.5546875" bestFit="1" customWidth="1"/>
    <col min="3" max="3" width="30.109375" bestFit="1" customWidth="1"/>
  </cols>
  <sheetData>
    <row r="1" spans="1:4" x14ac:dyDescent="0.3">
      <c r="A1" s="69" t="s">
        <v>246</v>
      </c>
      <c r="B1" s="69" t="s">
        <v>415</v>
      </c>
      <c r="C1" s="69" t="s">
        <v>416</v>
      </c>
      <c r="D1" s="69" t="s">
        <v>382</v>
      </c>
    </row>
    <row r="2" spans="1:4" x14ac:dyDescent="0.3">
      <c r="A2" s="1" t="s">
        <v>410</v>
      </c>
      <c r="B2" s="1" t="s">
        <v>417</v>
      </c>
      <c r="C2" s="1" t="s">
        <v>422</v>
      </c>
      <c r="D2" s="1">
        <v>73000</v>
      </c>
    </row>
    <row r="3" spans="1:4" x14ac:dyDescent="0.3">
      <c r="A3" s="1" t="s">
        <v>411</v>
      </c>
      <c r="B3" s="1" t="s">
        <v>418</v>
      </c>
      <c r="C3" s="1" t="s">
        <v>423</v>
      </c>
      <c r="D3" s="1">
        <v>73000</v>
      </c>
    </row>
    <row r="4" spans="1:4" x14ac:dyDescent="0.3">
      <c r="A4" s="1" t="s">
        <v>412</v>
      </c>
      <c r="B4" s="1" t="s">
        <v>419</v>
      </c>
      <c r="C4" s="1" t="s">
        <v>424</v>
      </c>
      <c r="D4" s="1">
        <v>73000</v>
      </c>
    </row>
    <row r="5" spans="1:4" x14ac:dyDescent="0.3">
      <c r="A5" s="1" t="s">
        <v>413</v>
      </c>
      <c r="B5" s="1" t="s">
        <v>420</v>
      </c>
      <c r="C5" s="1" t="s">
        <v>425</v>
      </c>
      <c r="D5" s="1">
        <v>73000</v>
      </c>
    </row>
    <row r="6" spans="1:4" x14ac:dyDescent="0.3">
      <c r="A6" s="1" t="s">
        <v>414</v>
      </c>
      <c r="B6" s="1" t="s">
        <v>421</v>
      </c>
      <c r="C6" s="1" t="s">
        <v>426</v>
      </c>
      <c r="D6" s="1">
        <v>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10</vt:i4>
      </vt:variant>
    </vt:vector>
  </HeadingPairs>
  <TitlesOfParts>
    <vt:vector size="37" baseType="lpstr">
      <vt:lpstr>LATIHAN 1</vt:lpstr>
      <vt:lpstr>LATIHAN 2</vt:lpstr>
      <vt:lpstr>ARITMATIKA</vt:lpstr>
      <vt:lpstr>STATISTIK</vt:lpstr>
      <vt:lpstr>LATIHAN STATISTIK ARITMATIKA</vt:lpstr>
      <vt:lpstr>Absulote cell</vt:lpstr>
      <vt:lpstr>Latihan Absulote cell</vt:lpstr>
      <vt:lpstr>Fungsi string</vt:lpstr>
      <vt:lpstr>LATIHAN FUNGS STRING</vt:lpstr>
      <vt:lpstr>Fungsi IF</vt:lpstr>
      <vt:lpstr>Latihan If</vt:lpstr>
      <vt:lpstr>Latihan if ke-2</vt:lpstr>
      <vt:lpstr>IF&amp;AND&amp;OR</vt:lpstr>
      <vt:lpstr>LATIHAN</vt:lpstr>
      <vt:lpstr>IF&amp;STRING</vt:lpstr>
      <vt:lpstr>Latihan if dan String</vt:lpstr>
      <vt:lpstr>lATIHAN IF&amp;STRING 2</vt:lpstr>
      <vt:lpstr>LOOKUP</vt:lpstr>
      <vt:lpstr>Latihan LOOKUP</vt:lpstr>
      <vt:lpstr>LOOKUP&amp;STRING</vt:lpstr>
      <vt:lpstr>Latihan lookup&amp;string</vt:lpstr>
      <vt:lpstr>typebrg</vt:lpstr>
      <vt:lpstr>na_brg</vt:lpstr>
      <vt:lpstr>Soal A</vt:lpstr>
      <vt:lpstr>Tabel tiket_pswt</vt:lpstr>
      <vt:lpstr>Soal B</vt:lpstr>
      <vt:lpstr>Tabel tiket_kerta</vt:lpstr>
      <vt:lpstr>Asal</vt:lpstr>
      <vt:lpstr>buah</vt:lpstr>
      <vt:lpstr>BUKU</vt:lpstr>
      <vt:lpstr>Gaji</vt:lpstr>
      <vt:lpstr>Harga</vt:lpstr>
      <vt:lpstr>N_BRG</vt:lpstr>
      <vt:lpstr>NAMA</vt:lpstr>
      <vt:lpstr>TABEL_TIKET</vt:lpstr>
      <vt:lpstr>ttb_krt</vt:lpstr>
      <vt:lpstr>tyPE_BRG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LB-17</dc:creator>
  <cp:lastModifiedBy>offis.ori6578@outlook.com</cp:lastModifiedBy>
  <dcterms:created xsi:type="dcterms:W3CDTF">2026-01-29T06:07:24Z</dcterms:created>
  <dcterms:modified xsi:type="dcterms:W3CDTF">2026-03-05T05:52:53Z</dcterms:modified>
</cp:coreProperties>
</file>