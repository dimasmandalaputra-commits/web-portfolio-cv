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FO\"/>
    </mc:Choice>
  </mc:AlternateContent>
  <xr:revisionPtr revIDLastSave="0" documentId="13_ncr:1_{9C7328CC-70DA-4088-B99C-C47C56FF1365}" xr6:coauthVersionLast="47" xr6:coauthVersionMax="47" xr10:uidLastSave="{00000000-0000-0000-0000-000000000000}"/>
  <bookViews>
    <workbookView xWindow="-108" yWindow="-108" windowWidth="23256" windowHeight="13176" firstSheet="2" activeTab="5" xr2:uid="{00000000-000D-0000-FFFF-FFFF00000000}"/>
  </bookViews>
  <sheets>
    <sheet name="24 DECEMBER 2021" sheetId="1" r:id="rId1"/>
    <sheet name="26 DECEMBER 2021" sheetId="2" r:id="rId2"/>
    <sheet name="27 DECEMBER 2021" sheetId="9" r:id="rId3"/>
    <sheet name="28 DECEMBER 2021" sheetId="4" r:id="rId4"/>
    <sheet name="29 DECEMBER 2021" sheetId="5" r:id="rId5"/>
    <sheet name="30 DECEMBER 2021" sheetId="6" r:id="rId6"/>
  </sheets>
  <definedNames>
    <definedName name="BUs">'24 DECEMBER 2021'!$A$18:$D$23</definedName>
    <definedName name="cd">'27 DECEMBER 2021'!$B$20:$D$24</definedName>
    <definedName name="data">'26 DECEMBER 2021'!$F$11:$J$13</definedName>
    <definedName name="dta">'26 DECEMBER 2021'!$B$11:$D$15</definedName>
    <definedName name="harga">'27 DECEMBER 2021'!$F$20:$G$23</definedName>
    <definedName name="kls">'24 DECEMBER 2021'!$F$18:$H$22</definedName>
    <definedName name="l">'28 DECEMBER 2021'!$B$22:$C$25</definedName>
    <definedName name="o">'28 DECEMBER 2021'!$B$17:$C$20</definedName>
    <definedName name="p">'28 DECEMBER 2021'!$B$12:$C$15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28exkAjVq5mD9uyL7LILSWzAtJGQyskxdgyDnJ1AAb0="/>
    </ext>
  </extLst>
</workbook>
</file>

<file path=xl/calcChain.xml><?xml version="1.0" encoding="utf-8"?>
<calcChain xmlns="http://schemas.openxmlformats.org/spreadsheetml/2006/main">
  <c r="J8" i="6" l="1"/>
  <c r="J9" i="6"/>
  <c r="J10" i="6"/>
  <c r="J11" i="6"/>
  <c r="J12" i="6"/>
  <c r="J13" i="6"/>
  <c r="J14" i="6"/>
  <c r="J15" i="6"/>
  <c r="J16" i="6"/>
  <c r="J17" i="6"/>
  <c r="J18" i="6"/>
  <c r="J19" i="6"/>
  <c r="J7" i="6"/>
  <c r="I8" i="6"/>
  <c r="K8" i="6"/>
  <c r="L8" i="6"/>
  <c r="M8" i="6"/>
  <c r="N8" i="6"/>
  <c r="O8" i="6"/>
  <c r="P8" i="6"/>
  <c r="Q8" i="6"/>
  <c r="R8" i="6"/>
  <c r="S8" i="6"/>
  <c r="T8" i="6"/>
  <c r="U8" i="6" s="1"/>
  <c r="I9" i="6"/>
  <c r="K9" i="6"/>
  <c r="L9" i="6"/>
  <c r="M9" i="6"/>
  <c r="N9" i="6"/>
  <c r="O9" i="6"/>
  <c r="P9" i="6"/>
  <c r="T9" i="6" s="1"/>
  <c r="U9" i="6" s="1"/>
  <c r="Q9" i="6"/>
  <c r="R9" i="6"/>
  <c r="S9" i="6"/>
  <c r="I10" i="6"/>
  <c r="K10" i="6"/>
  <c r="S10" i="6" s="1"/>
  <c r="L10" i="6"/>
  <c r="M10" i="6"/>
  <c r="N10" i="6"/>
  <c r="O10" i="6"/>
  <c r="P10" i="6"/>
  <c r="T10" i="6" s="1"/>
  <c r="U10" i="6" s="1"/>
  <c r="Q10" i="6"/>
  <c r="R10" i="6"/>
  <c r="I11" i="6"/>
  <c r="K11" i="6"/>
  <c r="R11" i="6" s="1"/>
  <c r="L11" i="6"/>
  <c r="M11" i="6"/>
  <c r="N11" i="6"/>
  <c r="O11" i="6"/>
  <c r="P11" i="6"/>
  <c r="Q11" i="6"/>
  <c r="I12" i="6"/>
  <c r="K12" i="6"/>
  <c r="Q12" i="6" s="1"/>
  <c r="L12" i="6"/>
  <c r="M12" i="6"/>
  <c r="N12" i="6"/>
  <c r="O12" i="6"/>
  <c r="P12" i="6"/>
  <c r="I13" i="6"/>
  <c r="K13" i="6"/>
  <c r="P13" i="6" s="1"/>
  <c r="L13" i="6"/>
  <c r="M13" i="6"/>
  <c r="N13" i="6"/>
  <c r="O13" i="6"/>
  <c r="I14" i="6"/>
  <c r="K14" i="6"/>
  <c r="S14" i="6" s="1"/>
  <c r="L14" i="6"/>
  <c r="O14" i="6" s="1"/>
  <c r="M14" i="6"/>
  <c r="N14" i="6"/>
  <c r="I15" i="6"/>
  <c r="K15" i="6"/>
  <c r="L15" i="6"/>
  <c r="O15" i="6" s="1"/>
  <c r="M15" i="6"/>
  <c r="N15" i="6"/>
  <c r="I16" i="6"/>
  <c r="K16" i="6"/>
  <c r="L16" i="6"/>
  <c r="O16" i="6" s="1"/>
  <c r="M16" i="6"/>
  <c r="N16" i="6"/>
  <c r="I17" i="6"/>
  <c r="K17" i="6"/>
  <c r="P17" i="6" s="1"/>
  <c r="L17" i="6"/>
  <c r="M17" i="6"/>
  <c r="N17" i="6"/>
  <c r="O17" i="6"/>
  <c r="I18" i="6"/>
  <c r="K18" i="6"/>
  <c r="L18" i="6"/>
  <c r="M18" i="6"/>
  <c r="N18" i="6"/>
  <c r="O18" i="6"/>
  <c r="P18" i="6"/>
  <c r="Q18" i="6"/>
  <c r="R18" i="6"/>
  <c r="S18" i="6"/>
  <c r="T18" i="6"/>
  <c r="U18" i="6"/>
  <c r="I19" i="6"/>
  <c r="K19" i="6"/>
  <c r="L19" i="6"/>
  <c r="M19" i="6"/>
  <c r="N19" i="6"/>
  <c r="O19" i="6"/>
  <c r="P19" i="6"/>
  <c r="Q19" i="6"/>
  <c r="R19" i="6"/>
  <c r="S19" i="6"/>
  <c r="T19" i="6"/>
  <c r="U19" i="6"/>
  <c r="U7" i="6"/>
  <c r="T7" i="6"/>
  <c r="S7" i="6"/>
  <c r="R7" i="6"/>
  <c r="Q7" i="6"/>
  <c r="P7" i="6"/>
  <c r="O7" i="6"/>
  <c r="N7" i="6"/>
  <c r="M7" i="6"/>
  <c r="L7" i="6"/>
  <c r="I7" i="6"/>
  <c r="K7" i="6"/>
  <c r="P16" i="6" l="1"/>
  <c r="P15" i="6"/>
  <c r="S17" i="6"/>
  <c r="S16" i="6"/>
  <c r="Q17" i="6"/>
  <c r="T17" i="6" s="1"/>
  <c r="U17" i="6" s="1"/>
  <c r="S15" i="6"/>
  <c r="R15" i="6"/>
  <c r="Q15" i="6"/>
  <c r="R14" i="6"/>
  <c r="S13" i="6"/>
  <c r="Q14" i="6"/>
  <c r="S12" i="6"/>
  <c r="P14" i="6"/>
  <c r="T14" i="6" s="1"/>
  <c r="U14" i="6" s="1"/>
  <c r="Q13" i="6"/>
  <c r="T13" i="6" s="1"/>
  <c r="U13" i="6" s="1"/>
  <c r="R12" i="6"/>
  <c r="T12" i="6" s="1"/>
  <c r="U12" i="6" s="1"/>
  <c r="S11" i="6"/>
  <c r="T11" i="6" s="1"/>
  <c r="U11" i="6" s="1"/>
  <c r="R17" i="6"/>
  <c r="R16" i="6"/>
  <c r="Q16" i="6"/>
  <c r="R13" i="6"/>
  <c r="T15" i="6" l="1"/>
  <c r="U15" i="6" s="1"/>
  <c r="T16" i="6"/>
  <c r="U16" i="6" s="1"/>
  <c r="D5" i="5" l="1"/>
  <c r="E5" i="5"/>
  <c r="F5" i="5"/>
  <c r="G5" i="5"/>
  <c r="I5" i="5" s="1"/>
  <c r="H5" i="5"/>
  <c r="J5" i="5"/>
  <c r="D6" i="5"/>
  <c r="E6" i="5"/>
  <c r="F6" i="5"/>
  <c r="G6" i="5"/>
  <c r="I6" i="5" s="1"/>
  <c r="H6" i="5"/>
  <c r="J6" i="5"/>
  <c r="D7" i="5"/>
  <c r="E7" i="5"/>
  <c r="F7" i="5"/>
  <c r="G7" i="5"/>
  <c r="I7" i="5" s="1"/>
  <c r="H7" i="5"/>
  <c r="J7" i="5"/>
  <c r="D8" i="5"/>
  <c r="E8" i="5"/>
  <c r="F8" i="5"/>
  <c r="G8" i="5"/>
  <c r="I8" i="5" s="1"/>
  <c r="H8" i="5"/>
  <c r="J8" i="5"/>
  <c r="D9" i="5"/>
  <c r="E9" i="5"/>
  <c r="F9" i="5"/>
  <c r="G9" i="5"/>
  <c r="I9" i="5" s="1"/>
  <c r="H9" i="5"/>
  <c r="J9" i="5"/>
  <c r="D10" i="5"/>
  <c r="E10" i="5"/>
  <c r="F10" i="5"/>
  <c r="G10" i="5"/>
  <c r="H10" i="5"/>
  <c r="I10" i="5"/>
  <c r="J10" i="5"/>
  <c r="D11" i="5"/>
  <c r="E11" i="5"/>
  <c r="F11" i="5"/>
  <c r="G11" i="5"/>
  <c r="I11" i="5" s="1"/>
  <c r="H11" i="5"/>
  <c r="J11" i="5"/>
  <c r="D12" i="5"/>
  <c r="E12" i="5"/>
  <c r="F12" i="5"/>
  <c r="G12" i="5"/>
  <c r="I12" i="5" s="1"/>
  <c r="H12" i="5"/>
  <c r="J12" i="5"/>
  <c r="D13" i="5"/>
  <c r="E13" i="5"/>
  <c r="F13" i="5"/>
  <c r="G13" i="5"/>
  <c r="I13" i="5" s="1"/>
  <c r="H13" i="5"/>
  <c r="J13" i="5"/>
  <c r="D14" i="5"/>
  <c r="E14" i="5"/>
  <c r="F14" i="5"/>
  <c r="G14" i="5"/>
  <c r="I14" i="5" s="1"/>
  <c r="H14" i="5"/>
  <c r="J14" i="5"/>
  <c r="D15" i="5"/>
  <c r="E15" i="5"/>
  <c r="F15" i="5"/>
  <c r="G15" i="5"/>
  <c r="I15" i="5" s="1"/>
  <c r="H15" i="5"/>
  <c r="J15" i="5"/>
  <c r="J4" i="5"/>
  <c r="I4" i="5"/>
  <c r="H4" i="5"/>
  <c r="F4" i="5"/>
  <c r="G4" i="5"/>
  <c r="E4" i="5"/>
  <c r="D4" i="5"/>
  <c r="E11" i="9"/>
  <c r="D11" i="9"/>
  <c r="C11" i="9"/>
  <c r="E10" i="9"/>
  <c r="D10" i="9"/>
  <c r="C10" i="9"/>
  <c r="E9" i="9"/>
  <c r="D9" i="9"/>
  <c r="C9" i="9"/>
  <c r="E8" i="9"/>
  <c r="D8" i="9"/>
  <c r="C8" i="9"/>
  <c r="E7" i="9"/>
  <c r="D7" i="9"/>
  <c r="C7" i="9"/>
  <c r="G6" i="9"/>
  <c r="H6" i="9" s="1"/>
  <c r="E6" i="9"/>
  <c r="D6" i="9"/>
  <c r="C6" i="9"/>
  <c r="E5" i="9"/>
  <c r="D5" i="9"/>
  <c r="C5" i="9"/>
  <c r="I14" i="4"/>
  <c r="I13" i="4"/>
  <c r="I12" i="4"/>
  <c r="I11" i="4"/>
  <c r="I7" i="4"/>
  <c r="I8" i="4"/>
  <c r="I9" i="4"/>
  <c r="I10" i="4"/>
  <c r="I6" i="4"/>
  <c r="D7" i="4"/>
  <c r="E7" i="4"/>
  <c r="D8" i="4"/>
  <c r="E8" i="4"/>
  <c r="D9" i="4"/>
  <c r="E9" i="4"/>
  <c r="D10" i="4"/>
  <c r="E10" i="4"/>
  <c r="H7" i="4"/>
  <c r="H8" i="4"/>
  <c r="H9" i="4"/>
  <c r="H10" i="4"/>
  <c r="H6" i="4"/>
  <c r="E6" i="4"/>
  <c r="D6" i="4"/>
  <c r="C7" i="4"/>
  <c r="C8" i="4"/>
  <c r="C9" i="4"/>
  <c r="C10" i="4"/>
  <c r="C6" i="4"/>
  <c r="R13" i="2"/>
  <c r="R12" i="2"/>
  <c r="R11" i="2"/>
  <c r="R10" i="2"/>
  <c r="R6" i="2"/>
  <c r="R7" i="2"/>
  <c r="R8" i="2"/>
  <c r="R9" i="2"/>
  <c r="R5" i="2"/>
  <c r="Q6" i="2"/>
  <c r="Q7" i="2"/>
  <c r="Q8" i="2"/>
  <c r="Q9" i="2"/>
  <c r="P6" i="2"/>
  <c r="P7" i="2"/>
  <c r="P8" i="2"/>
  <c r="P9" i="2"/>
  <c r="Q5" i="2"/>
  <c r="P5" i="2"/>
  <c r="L6" i="2"/>
  <c r="L7" i="2"/>
  <c r="L8" i="2"/>
  <c r="L9" i="2"/>
  <c r="K6" i="2"/>
  <c r="K7" i="2"/>
  <c r="K8" i="2"/>
  <c r="K9" i="2"/>
  <c r="L5" i="2"/>
  <c r="K5" i="2"/>
  <c r="J6" i="2"/>
  <c r="J7" i="2"/>
  <c r="J8" i="2"/>
  <c r="J9" i="2"/>
  <c r="J5" i="2"/>
  <c r="D6" i="2"/>
  <c r="D7" i="2"/>
  <c r="D8" i="2"/>
  <c r="D9" i="2"/>
  <c r="I6" i="2"/>
  <c r="I7" i="2"/>
  <c r="I8" i="2"/>
  <c r="I9" i="2"/>
  <c r="I5" i="2"/>
  <c r="F6" i="2"/>
  <c r="F7" i="2"/>
  <c r="F8" i="2"/>
  <c r="F9" i="2"/>
  <c r="F5" i="2"/>
  <c r="D5" i="2"/>
  <c r="D5" i="1"/>
  <c r="E5" i="1"/>
  <c r="F5" i="1"/>
  <c r="G5" i="1"/>
  <c r="H5" i="1"/>
  <c r="I5" i="1"/>
  <c r="J5" i="1"/>
  <c r="D6" i="1"/>
  <c r="E6" i="1"/>
  <c r="F6" i="1"/>
  <c r="G6" i="1"/>
  <c r="H6" i="1"/>
  <c r="I6" i="1"/>
  <c r="J6" i="1"/>
  <c r="D7" i="1"/>
  <c r="E7" i="1"/>
  <c r="F7" i="1"/>
  <c r="G7" i="1"/>
  <c r="H7" i="1"/>
  <c r="I7" i="1"/>
  <c r="J7" i="1"/>
  <c r="D8" i="1"/>
  <c r="E8" i="1"/>
  <c r="F8" i="1"/>
  <c r="G8" i="1"/>
  <c r="I8" i="1" s="1"/>
  <c r="H8" i="1"/>
  <c r="J8" i="1"/>
  <c r="D9" i="1"/>
  <c r="E9" i="1"/>
  <c r="F9" i="1"/>
  <c r="G9" i="1"/>
  <c r="H9" i="1"/>
  <c r="I9" i="1"/>
  <c r="J9" i="1"/>
  <c r="D10" i="1"/>
  <c r="E10" i="1"/>
  <c r="F10" i="1"/>
  <c r="G10" i="1"/>
  <c r="H10" i="1"/>
  <c r="I10" i="1"/>
  <c r="J10" i="1"/>
  <c r="D11" i="1"/>
  <c r="E11" i="1"/>
  <c r="F11" i="1"/>
  <c r="G11" i="1"/>
  <c r="H11" i="1"/>
  <c r="I11" i="1"/>
  <c r="J11" i="1"/>
  <c r="D12" i="1"/>
  <c r="E12" i="1"/>
  <c r="F12" i="1"/>
  <c r="G12" i="1"/>
  <c r="H12" i="1"/>
  <c r="I12" i="1"/>
  <c r="J12" i="1"/>
  <c r="D13" i="1"/>
  <c r="E13" i="1"/>
  <c r="F13" i="1"/>
  <c r="G13" i="1"/>
  <c r="H13" i="1"/>
  <c r="J13" i="1"/>
  <c r="D14" i="1"/>
  <c r="E14" i="1"/>
  <c r="F14" i="1"/>
  <c r="G14" i="1"/>
  <c r="H14" i="1"/>
  <c r="I14" i="1"/>
  <c r="J14" i="1"/>
  <c r="D15" i="1"/>
  <c r="E15" i="1"/>
  <c r="F15" i="1"/>
  <c r="G15" i="1"/>
  <c r="I15" i="1" s="1"/>
  <c r="H15" i="1"/>
  <c r="J15" i="1"/>
  <c r="J4" i="1"/>
  <c r="I4" i="1"/>
  <c r="H4" i="1"/>
  <c r="F4" i="1"/>
  <c r="G4" i="1"/>
  <c r="E4" i="1"/>
  <c r="D4" i="1"/>
  <c r="H7" i="9" l="1"/>
  <c r="H11" i="9"/>
  <c r="G11" i="9"/>
  <c r="G9" i="9"/>
  <c r="H9" i="9" s="1"/>
  <c r="G7" i="9"/>
  <c r="G5" i="9"/>
  <c r="G10" i="9"/>
  <c r="H10" i="9" s="1"/>
  <c r="G8" i="9"/>
  <c r="H8" i="9" s="1"/>
  <c r="G16" i="9" l="1"/>
  <c r="G14" i="9"/>
  <c r="G13" i="9"/>
  <c r="G12" i="9"/>
  <c r="H16" i="9"/>
  <c r="G15" i="9"/>
  <c r="H5" i="9"/>
  <c r="H14" i="9" l="1"/>
  <c r="H13" i="9"/>
  <c r="H12" i="9"/>
  <c r="H15" i="9"/>
</calcChain>
</file>

<file path=xl/sharedStrings.xml><?xml version="1.0" encoding="utf-8"?>
<sst xmlns="http://schemas.openxmlformats.org/spreadsheetml/2006/main" count="416" uniqueCount="259">
  <si>
    <t>LAPORAN PENJUALAN TIKET BUS (Sheet1)</t>
  </si>
  <si>
    <t>No.</t>
  </si>
  <si>
    <t>Nama</t>
  </si>
  <si>
    <t>Kode</t>
  </si>
  <si>
    <t>Nama Bus</t>
  </si>
  <si>
    <t>Jurusan</t>
  </si>
  <si>
    <t>Kelas</t>
  </si>
  <si>
    <t>Tarip Dasar</t>
  </si>
  <si>
    <t>Tarip Tambahan</t>
  </si>
  <si>
    <t>Harga Tiket</t>
  </si>
  <si>
    <t>Jam Pemberangkatan</t>
  </si>
  <si>
    <t>Ade Nuraeli</t>
  </si>
  <si>
    <t>LO-SE01</t>
  </si>
  <si>
    <t>Nurzaman</t>
  </si>
  <si>
    <t>LO-SE03</t>
  </si>
  <si>
    <t>Maurizka</t>
  </si>
  <si>
    <t>SN-BS02</t>
  </si>
  <si>
    <t>Maulita</t>
  </si>
  <si>
    <t>LU-EK02</t>
  </si>
  <si>
    <t>Sesha</t>
  </si>
  <si>
    <t>SH-SE01</t>
  </si>
  <si>
    <t>Iyop Ropika</t>
  </si>
  <si>
    <t>SJ-EX03</t>
  </si>
  <si>
    <t>Yully</t>
  </si>
  <si>
    <t>Agus</t>
  </si>
  <si>
    <t>Annabel</t>
  </si>
  <si>
    <t>Arief</t>
  </si>
  <si>
    <t>SN-EX02</t>
  </si>
  <si>
    <t>Fajar</t>
  </si>
  <si>
    <t>LU-EK01</t>
  </si>
  <si>
    <t>Nugroho</t>
  </si>
  <si>
    <t>SH-SE03</t>
  </si>
  <si>
    <t>Tabel Nama Bus dan Jurusan (Sheet2)</t>
  </si>
  <si>
    <t>Tabel Kelas (Sheet3)</t>
  </si>
  <si>
    <t>Kode2</t>
  </si>
  <si>
    <t>LO</t>
  </si>
  <si>
    <t>Lorena</t>
  </si>
  <si>
    <t>Jakarta-Denpasar</t>
  </si>
  <si>
    <t>BS</t>
  </si>
  <si>
    <t>Bisnis</t>
  </si>
  <si>
    <t>LU</t>
  </si>
  <si>
    <t>Luragung Jaya</t>
  </si>
  <si>
    <t>Jakarta-Cirebon</t>
  </si>
  <si>
    <t>EK</t>
  </si>
  <si>
    <t>Ekonomi</t>
  </si>
  <si>
    <t>SH</t>
  </si>
  <si>
    <t>Sahabat</t>
  </si>
  <si>
    <t>Jakarta-Kuningan</t>
  </si>
  <si>
    <t>EX</t>
  </si>
  <si>
    <t>Eksekutif</t>
  </si>
  <si>
    <t>SJ</t>
  </si>
  <si>
    <t>Sami Jaya</t>
  </si>
  <si>
    <t>Jakarta-Surabaya</t>
  </si>
  <si>
    <t>SE</t>
  </si>
  <si>
    <t>Super Eksekutif</t>
  </si>
  <si>
    <t>SN</t>
  </si>
  <si>
    <t>Setia Negara</t>
  </si>
  <si>
    <t>Jakarta-Semarang</t>
  </si>
  <si>
    <t>Gunakan fungsi pembacaan tabel dengan fungsi String untuk mencari Nama Bus, jurusan, Kelas, dan tarif dasar serta Tarif tambahan</t>
  </si>
  <si>
    <t>Harga tiket didapatkan dari Tarif dasar dengan Tarif Tambahan</t>
  </si>
  <si>
    <t>Jam Berangkat didapatkan dari 2 digit terakhir kode</t>
  </si>
  <si>
    <t>Filter data dengan menggunakan Advanced Filter berdasarkan Nama Bus</t>
  </si>
  <si>
    <t>Buatkan Subtotal berdasarkan Nama Bus dan tarif dasar</t>
  </si>
  <si>
    <t>Buatkan rekapitulasi data berdasarkan Nama Bus dengan Harga Tiket (Total, Harga Tertinggi, Harga Terendah)</t>
  </si>
  <si>
    <t>Buatkan Grafik berdasarkan tabel rekapitulasi diatas</t>
  </si>
  <si>
    <t>Buatkan Pivot tabel dengan data yang ditampilkan Nama bus, Tarif Dasar, Tarif Tambahan, Harga Tiket</t>
  </si>
  <si>
    <t>Print dengan menggunakan kertas legal</t>
  </si>
  <si>
    <t>Rekapitulasi Gaji Karyawan PT. Juan King</t>
  </si>
  <si>
    <t>Bulan :</t>
  </si>
  <si>
    <t>No</t>
  </si>
  <si>
    <t>Nama Pegawai</t>
  </si>
  <si>
    <t>Jabatan</t>
  </si>
  <si>
    <t>Jumlah Hari Kerja</t>
  </si>
  <si>
    <t>Gaji Pokok</t>
  </si>
  <si>
    <t>Status</t>
  </si>
  <si>
    <t>Jumlah Anak</t>
  </si>
  <si>
    <t>Tunjangan Anak</t>
  </si>
  <si>
    <t>Tunjangan Istri</t>
  </si>
  <si>
    <t>Transportasi</t>
  </si>
  <si>
    <t>Tunjangan Beras</t>
  </si>
  <si>
    <t>Pinjaman</t>
  </si>
  <si>
    <t>Cash Bon</t>
  </si>
  <si>
    <t>Jamsostek</t>
  </si>
  <si>
    <t>Total Tunjangan</t>
  </si>
  <si>
    <t>Total Potongan</t>
  </si>
  <si>
    <t>Gaji Bersih</t>
  </si>
  <si>
    <t>D</t>
  </si>
  <si>
    <t>Mayang</t>
  </si>
  <si>
    <t>Menikah</t>
  </si>
  <si>
    <t>M</t>
  </si>
  <si>
    <t>Cintia</t>
  </si>
  <si>
    <t>S</t>
  </si>
  <si>
    <t>Annida</t>
  </si>
  <si>
    <t>O</t>
  </si>
  <si>
    <t>Bushra</t>
  </si>
  <si>
    <t>Tidak menikah</t>
  </si>
  <si>
    <t>Santya</t>
  </si>
  <si>
    <t>Total</t>
  </si>
  <si>
    <t>Direktur</t>
  </si>
  <si>
    <t>Manager</t>
  </si>
  <si>
    <t>Staff</t>
  </si>
  <si>
    <t>Office Boy</t>
  </si>
  <si>
    <t>Jumlah Tertinggi</t>
  </si>
  <si>
    <t>Jumlah Terendah</t>
  </si>
  <si>
    <t>Rata-rata</t>
  </si>
  <si>
    <t>Soal</t>
  </si>
  <si>
    <t>1. Gaji Pokok, Jabatan, Transportasi dikalikan dengan jumlah hari kerja, Tunjangan Beras dicari dengan menggunakan LOOKUP</t>
  </si>
  <si>
    <t>2. Tunjangan Anak diberikan hanya untuk dua orang anak sebesar 10% dari Gaji Pokok (gunakan fungsi If)</t>
  </si>
  <si>
    <t>3. Tunjangan Istri hanya diberikan untuk karyawan yang berstatus menikah 7% dari Gaji Pokok (Gunakan fungsi If)</t>
  </si>
  <si>
    <t>4. Jamsostek Rp. 50.000,- setiap orang</t>
  </si>
  <si>
    <t>5. Total Tunjangan didapat dari penjumlahan seluruh tunjangan dan transportasi</t>
  </si>
  <si>
    <t>6. Total Potongan didapatkan dari pinjaman, Cash Bon, dan Jamsostek</t>
  </si>
  <si>
    <t>7. Gaji Bersih didapat dari penjumlahan Gaji Pokok dengan total Tunjangan lalu dikurangi dengan Total Potongan</t>
  </si>
  <si>
    <t>8. Gunakan fungsi statistik untuk mencari total, Jumlah Tertinggi, Jumlah Terendah, Rata Rata</t>
  </si>
  <si>
    <t>9. Copas tabel ke sheet2 lalu sortir serta buatkan subtotal berdasarkan jabatan</t>
  </si>
  <si>
    <t>10. Buatkan Filter advanced dengan kriteria adalah jabatan</t>
  </si>
  <si>
    <t>LAPORAN PENJUALAN TOKO AMIRA</t>
  </si>
  <si>
    <t xml:space="preserve">Discount: </t>
  </si>
  <si>
    <t>NO</t>
  </si>
  <si>
    <t>KODE</t>
  </si>
  <si>
    <t>JUDUL CD</t>
  </si>
  <si>
    <t>JENIS CD</t>
  </si>
  <si>
    <t>HARGA</t>
  </si>
  <si>
    <t>JUMLAH BELI</t>
  </si>
  <si>
    <t>DISCOUNT</t>
  </si>
  <si>
    <t>TOTAL BELI</t>
  </si>
  <si>
    <t>CD-DD-001</t>
  </si>
  <si>
    <t>CD-CC-001</t>
  </si>
  <si>
    <t>CD-MM-002</t>
  </si>
  <si>
    <t>CD-RR-003</t>
  </si>
  <si>
    <t>Rata-Rata</t>
  </si>
  <si>
    <t>Jumlah Data</t>
  </si>
  <si>
    <t>* Gunakan fungsi  VLOOKUP dan gabungan fungsi string untuk mencari Judul CD, Jenis CD, dan Harga</t>
  </si>
  <si>
    <t>JUDUL</t>
  </si>
  <si>
    <t>DD</t>
  </si>
  <si>
    <t>ALICE IN WONDERLAND</t>
  </si>
  <si>
    <t>ADVENTURE</t>
  </si>
  <si>
    <t>001</t>
  </si>
  <si>
    <t>CC</t>
  </si>
  <si>
    <t>SKY WAR</t>
  </si>
  <si>
    <t>ACTION</t>
  </si>
  <si>
    <t>002</t>
  </si>
  <si>
    <t>MM</t>
  </si>
  <si>
    <t>PREMAN IN LOVE</t>
  </si>
  <si>
    <t>COMEDI</t>
  </si>
  <si>
    <t>003</t>
  </si>
  <si>
    <t>RR</t>
  </si>
  <si>
    <t>WINTER SONATA</t>
  </si>
  <si>
    <t>KOREAN DRAMA</t>
  </si>
  <si>
    <t>* Discount diberikan 5% dari Harga, apa bila pembelian diatas atau sama dengan 5</t>
  </si>
  <si>
    <t>* Total didapatkan dari perkalian harga dengan jumlah beli dikurangi dg discount</t>
  </si>
  <si>
    <t>* Sortir data berdasarkan Judul Buku</t>
  </si>
  <si>
    <t>* Buatlah Filter Advanced berdasarkan Jenis Buku</t>
  </si>
  <si>
    <t>* Buath subtotal berdasarkan Jenis CD dan Discount serta Total Beli</t>
  </si>
  <si>
    <t>* Buatlah Rekapitulasi Penjualan data ditampilkan, Jenis Buku, Jumlah Beli, Discount dan total beli</t>
  </si>
  <si>
    <t>* Buatlah Grafik berdasarkan Rekapitulasi Penjualan</t>
  </si>
  <si>
    <t>* Buatlah Pivot Tabel berdasarkan Jenis Buku, Harga, Jumlah beli, Discount dan Total Beli</t>
  </si>
  <si>
    <t>* Print Filter Advance</t>
  </si>
  <si>
    <t>TOKO SELALU UNTUNG TIDAK MAU RUGI</t>
  </si>
  <si>
    <t>SOAL TYPE : B</t>
  </si>
  <si>
    <t>Pajak</t>
  </si>
  <si>
    <t>Ketentuan Diskon</t>
  </si>
  <si>
    <t>Kode Barang</t>
  </si>
  <si>
    <t>Nama Barang</t>
  </si>
  <si>
    <t>Harga</t>
  </si>
  <si>
    <t>Supplier</t>
  </si>
  <si>
    <t>Jumlah Beli</t>
  </si>
  <si>
    <t>Tanggal Beli</t>
  </si>
  <si>
    <t>Diskon</t>
  </si>
  <si>
    <t>H-R-01</t>
  </si>
  <si>
    <t>P-B-02</t>
  </si>
  <si>
    <t>P-S-02</t>
  </si>
  <si>
    <t>Y-R-03</t>
  </si>
  <si>
    <t>Y-S-02</t>
  </si>
  <si>
    <t>H</t>
  </si>
  <si>
    <t>Hitachi</t>
  </si>
  <si>
    <t>P</t>
  </si>
  <si>
    <t>Philips</t>
  </si>
  <si>
    <t>Y</t>
  </si>
  <si>
    <t>Yong Ma</t>
  </si>
  <si>
    <t>Cari lah Nama Barang, Harga dan supplier dengan menggunakan fungsi IF dengan ketentuan data ada pada tabel</t>
  </si>
  <si>
    <t>Diskon diberikan untuk nama barang Rice Cooker dan Supplier Yong Ma, berdasrkan ketentuan diskon</t>
  </si>
  <si>
    <t>R</t>
  </si>
  <si>
    <t>Rice Cooker</t>
  </si>
  <si>
    <t>dan jumlah beli dan harga</t>
  </si>
  <si>
    <t>B</t>
  </si>
  <si>
    <t>Blender</t>
  </si>
  <si>
    <t>Total Didapatkan dari Harga dan jumlah beli dikurangi diskon dan Pajak</t>
  </si>
  <si>
    <t>Setrika</t>
  </si>
  <si>
    <t>Sortir data berdasarkan Nama barang</t>
  </si>
  <si>
    <t>Buatkan filter advanced dengan criteria Nama Barang</t>
  </si>
  <si>
    <t>Buatkan subtotal dg mengcopy data dan dipastekan di sheet berikutnya</t>
  </si>
  <si>
    <t>01</t>
  </si>
  <si>
    <t>Buatkan tabel rekapitulasi dengan criteria nama barng, harga barang tertinggi, harga barang terendah, harga rata rata</t>
  </si>
  <si>
    <t>02</t>
  </si>
  <si>
    <t>Buatkan tabel rekapitulasi dengan criteria nama barng, Diskon tertinggi, Diskon terendah, rata rata diskon</t>
  </si>
  <si>
    <t>03</t>
  </si>
  <si>
    <t>Buatkan grafik dari masing masing tabel rekapitulasi</t>
  </si>
  <si>
    <t>LAPORAN PENJUALAN TIKET BUS</t>
  </si>
  <si>
    <t>Gunakan fungsi if dengan fungsi String untuk mencari Nama Bus, jurusan, Kelas, dan tarif dasar serta Tarif tambahan</t>
  </si>
  <si>
    <t>Sortir data berdasarkan jurusan</t>
  </si>
  <si>
    <t>buatlah subtotal dari data tersebut</t>
  </si>
  <si>
    <t>Buatkan rekapitulasi data dengan data yang ditampilkaan Nama Bus, Tarif dasar, tarif tambahan, Harga tiket</t>
  </si>
  <si>
    <t>Buatlah grafik berdasarkan tabel rekapitulasi tersebut</t>
  </si>
  <si>
    <t>MEMBUAT REKAP THR KARYAWAN</t>
  </si>
  <si>
    <t>Taspen</t>
  </si>
  <si>
    <t>Asuransi</t>
  </si>
  <si>
    <t>Nip</t>
  </si>
  <si>
    <t>Tgl. Masuk Kerja</t>
  </si>
  <si>
    <t>Gol</t>
  </si>
  <si>
    <t>Jml. Anak</t>
  </si>
  <si>
    <t>Kode Jab.</t>
  </si>
  <si>
    <t>Lama Kerja</t>
  </si>
  <si>
    <t>T u n j a n g a n</t>
  </si>
  <si>
    <t>Gaji Kotor</t>
  </si>
  <si>
    <t>THR</t>
  </si>
  <si>
    <t>Keluarga</t>
  </si>
  <si>
    <t>Anak</t>
  </si>
  <si>
    <t>Tunjangan</t>
  </si>
  <si>
    <t xml:space="preserve">Endiartono </t>
  </si>
  <si>
    <t>K</t>
  </si>
  <si>
    <t>DIR</t>
  </si>
  <si>
    <t>Hendrawan Ali</t>
  </si>
  <si>
    <t>STA</t>
  </si>
  <si>
    <t>Randy Suwandi</t>
  </si>
  <si>
    <t>T</t>
  </si>
  <si>
    <t>Adhitya Samudra</t>
  </si>
  <si>
    <t>SUP</t>
  </si>
  <si>
    <t>Agung Mulyono</t>
  </si>
  <si>
    <t>Andy Setiawan</t>
  </si>
  <si>
    <t>Sarah Noordeviana</t>
  </si>
  <si>
    <t>Ayu Anandhika</t>
  </si>
  <si>
    <t>MAN</t>
  </si>
  <si>
    <t>Ernawati</t>
  </si>
  <si>
    <t>Rudolf Sakilangit</t>
  </si>
  <si>
    <t>Herry Endarto</t>
  </si>
  <si>
    <t>Rianto Suherman</t>
  </si>
  <si>
    <t>Debby Andalusia</t>
  </si>
  <si>
    <t>JABATAN</t>
  </si>
  <si>
    <t>TUN.JAB</t>
  </si>
  <si>
    <t>TUNJ. KEL</t>
  </si>
  <si>
    <t>TUNJ. ANAK</t>
  </si>
  <si>
    <t>Jabatan, Gaji Pokok, Tunj. Jabatan, Tunj. Keluarga Gunakan IF</t>
  </si>
  <si>
    <t>Lama Kerja berdasarkan pengurangan tahun laporan dengan Tgl Masuk Kerja</t>
  </si>
  <si>
    <t>Pajak, Taspen, Asuransi sesuai ketentuan dikali dengan Gaji Pokok</t>
  </si>
  <si>
    <t>Gaji Kotor didapatkan dari Penjumlahan Gaji Pokok dengan seluruh Tunjangan</t>
  </si>
  <si>
    <t>Supervisor</t>
  </si>
  <si>
    <t>Gaji bersih didapatkan dari Penguragan Gaji kotor dengan Pajak, Taspen, dan Asuransi</t>
  </si>
  <si>
    <t xml:space="preserve">Masing-masing anak mendapatkan tunjangan disesuaikan dengan Jabatan </t>
  </si>
  <si>
    <t>GOL</t>
  </si>
  <si>
    <t>GAJI POKOK</t>
  </si>
  <si>
    <t>THR=GAJI BERSIH</t>
  </si>
  <si>
    <t>Copykan data ke sheet berikutnya, sortir data berdasarkan Jabatan</t>
  </si>
  <si>
    <t>tampilkan data dengan menggukan filter advance dengan kriteria jabatan</t>
  </si>
  <si>
    <t>Buatkan rekapitulasi gaji dengan menggunakan statistik database, data yang ditampilkan berdasarkan Jabatan, Total Gaji, Gaji Tertinggi, Gaji terendah, rata rata gaji</t>
  </si>
  <si>
    <t>Dari tabel rekapitulasi buatlah grafik dengan nama Grafik THR Karyawan</t>
  </si>
  <si>
    <t>Buatlah subtotal dari tabel master yang ada</t>
  </si>
  <si>
    <t>Tampilkan dengan pivot tabel dengan data yang ditampilkan jabatan, gaji kotor, Pajak, Taspen, asuransi, gaji bersih dan THR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</si>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</sst>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_);_(* \(#,##0\);_(* &quot;-&quot;??_);_(@_)"/>
    <numFmt numFmtId="165" formatCode="[$-409]d\-mmm\-yy"/>
    <numFmt numFmtId="166" formatCode="_([$Rp-421]* #,##0_);_([$Rp-421]* \(#,##0\);_([$Rp-421]* &quot;-&quot;_);_(@_)"/>
    <numFmt numFmtId="167" formatCode="[$-409]mmmm\ d\,\ yyyy"/>
    <numFmt numFmtId="168" formatCode="0&quot; tahun&quot;"/>
    <numFmt numFmtId="169" formatCode="0\ &quot;bulan.&quot;"/>
    <numFmt numFmtId="170" formatCode="0&quot; Hari&quot;"/>
    <numFmt numFmtId="171" formatCode="_-[$Rp-421]* #,##0_-;\-[$Rp-421]* #,##0_-;_-[$Rp-421]* &quot;-&quot;_-;_-@_-"/>
    <numFmt numFmtId="172" formatCode="_-[$Rp-3809]* #,##0_-;\-[$Rp-3809]* #,##0_-;_-[$Rp-3809]* &quot;-&quot;_-;_-@_-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2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1"/>
      <name val="Times New Roman"/>
      <family val="1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2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 applyAlignment="1">
      <alignment vertical="center"/>
    </xf>
    <xf numFmtId="0" fontId="4" fillId="0" borderId="1" xfId="0" applyFont="1" applyBorder="1" applyAlignment="1">
      <alignment horizontal="right" vertical="center"/>
    </xf>
    <xf numFmtId="0" fontId="3" fillId="0" borderId="1" xfId="0" applyFont="1" applyBorder="1"/>
    <xf numFmtId="164" fontId="3" fillId="0" borderId="1" xfId="0" applyNumberFormat="1" applyFont="1" applyBorder="1"/>
    <xf numFmtId="0" fontId="3" fillId="0" borderId="1" xfId="0" applyFont="1" applyBorder="1" applyAlignment="1">
      <alignment horizontal="left"/>
    </xf>
    <xf numFmtId="9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  <xf numFmtId="165" fontId="0" fillId="0" borderId="0" xfId="0" applyNumberFormat="1"/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4" xfId="0" applyBorder="1"/>
    <xf numFmtId="1" fontId="0" fillId="0" borderId="1" xfId="0" applyNumberFormat="1" applyBorder="1"/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6" fillId="0" borderId="0" xfId="0" applyFont="1" applyAlignment="1">
      <alignment horizontal="right"/>
    </xf>
    <xf numFmtId="9" fontId="6" fillId="0" borderId="0" xfId="0" applyNumberFormat="1" applyFont="1" applyAlignment="1">
      <alignment horizontal="left"/>
    </xf>
    <xf numFmtId="0" fontId="8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0" xfId="0" applyFont="1"/>
    <xf numFmtId="0" fontId="9" fillId="0" borderId="5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1" xfId="0" quotePrefix="1" applyFont="1" applyBorder="1"/>
    <xf numFmtId="166" fontId="6" fillId="0" borderId="1" xfId="0" applyNumberFormat="1" applyFont="1" applyBorder="1"/>
    <xf numFmtId="0" fontId="12" fillId="0" borderId="0" xfId="0" applyFont="1"/>
    <xf numFmtId="9" fontId="0" fillId="0" borderId="0" xfId="0" applyNumberFormat="1"/>
    <xf numFmtId="165" fontId="0" fillId="0" borderId="1" xfId="0" applyNumberFormat="1" applyBorder="1"/>
    <xf numFmtId="0" fontId="13" fillId="0" borderId="2" xfId="0" applyFont="1" applyBorder="1"/>
    <xf numFmtId="0" fontId="0" fillId="0" borderId="1" xfId="0" quotePrefix="1" applyBorder="1"/>
    <xf numFmtId="0" fontId="14" fillId="0" borderId="0" xfId="0" applyFont="1"/>
    <xf numFmtId="0" fontId="15" fillId="2" borderId="6" xfId="0" applyFont="1" applyFill="1" applyBorder="1" applyAlignment="1">
      <alignment vertical="center"/>
    </xf>
    <xf numFmtId="0" fontId="15" fillId="2" borderId="6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left" vertical="center"/>
    </xf>
    <xf numFmtId="0" fontId="15" fillId="2" borderId="6" xfId="0" applyFont="1" applyFill="1" applyBorder="1" applyAlignment="1">
      <alignment horizontal="center" vertical="center" shrinkToFit="1"/>
    </xf>
    <xf numFmtId="0" fontId="15" fillId="2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vertical="center"/>
    </xf>
    <xf numFmtId="0" fontId="15" fillId="2" borderId="1" xfId="0" applyFont="1" applyFill="1" applyBorder="1" applyAlignment="1">
      <alignment vertical="center"/>
    </xf>
    <xf numFmtId="0" fontId="15" fillId="2" borderId="1" xfId="0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0" fontId="15" fillId="2" borderId="1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0" fontId="0" fillId="0" borderId="1" xfId="0" applyBorder="1" applyAlignment="1">
      <alignment horizontal="left"/>
    </xf>
    <xf numFmtId="9" fontId="0" fillId="0" borderId="1" xfId="0" applyNumberFormat="1" applyBorder="1" applyAlignment="1">
      <alignment horizontal="center"/>
    </xf>
    <xf numFmtId="9" fontId="6" fillId="0" borderId="0" xfId="0" applyNumberFormat="1" applyFont="1"/>
    <xf numFmtId="167" fontId="0" fillId="0" borderId="0" xfId="0" applyNumberFormat="1"/>
    <xf numFmtId="0" fontId="16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15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8" fontId="0" fillId="0" borderId="1" xfId="0" applyNumberFormat="1" applyBorder="1" applyAlignment="1">
      <alignment vertical="center"/>
    </xf>
    <xf numFmtId="164" fontId="0" fillId="0" borderId="0" xfId="0" applyNumberFormat="1" applyAlignment="1">
      <alignment horizontal="center"/>
    </xf>
    <xf numFmtId="0" fontId="16" fillId="0" borderId="1" xfId="0" applyFont="1" applyBorder="1"/>
    <xf numFmtId="164" fontId="16" fillId="0" borderId="1" xfId="0" applyNumberFormat="1" applyFont="1" applyBorder="1"/>
    <xf numFmtId="0" fontId="18" fillId="0" borderId="1" xfId="0" applyFont="1" applyBorder="1"/>
    <xf numFmtId="9" fontId="18" fillId="0" borderId="1" xfId="0" applyNumberFormat="1" applyFont="1" applyBorder="1"/>
    <xf numFmtId="9" fontId="19" fillId="0" borderId="1" xfId="0" applyNumberFormat="1" applyFont="1" applyBorder="1" applyAlignment="1">
      <alignment horizontal="center"/>
    </xf>
    <xf numFmtId="169" fontId="16" fillId="0" borderId="0" xfId="0" applyNumberFormat="1" applyFont="1" applyAlignment="1">
      <alignment horizontal="center"/>
    </xf>
    <xf numFmtId="0" fontId="19" fillId="3" borderId="1" xfId="0" applyFont="1" applyFill="1" applyBorder="1"/>
    <xf numFmtId="9" fontId="19" fillId="3" borderId="1" xfId="0" applyNumberFormat="1" applyFont="1" applyFill="1" applyBorder="1"/>
    <xf numFmtId="164" fontId="15" fillId="0" borderId="0" xfId="0" applyNumberFormat="1" applyFont="1" applyAlignment="1">
      <alignment horizontal="center"/>
    </xf>
    <xf numFmtId="168" fontId="0" fillId="0" borderId="0" xfId="0" applyNumberFormat="1"/>
    <xf numFmtId="170" fontId="0" fillId="0" borderId="0" xfId="0" applyNumberFormat="1"/>
    <xf numFmtId="0" fontId="16" fillId="0" borderId="9" xfId="0" applyFont="1" applyBorder="1"/>
    <xf numFmtId="0" fontId="16" fillId="0" borderId="10" xfId="0" applyFont="1" applyBorder="1" applyAlignment="1">
      <alignment horizontal="right"/>
    </xf>
    <xf numFmtId="0" fontId="18" fillId="0" borderId="11" xfId="0" applyFont="1" applyBorder="1" applyAlignment="1">
      <alignment horizontal="center"/>
    </xf>
    <xf numFmtId="164" fontId="18" fillId="0" borderId="11" xfId="0" applyNumberFormat="1" applyFont="1" applyBorder="1" applyAlignment="1">
      <alignment horizontal="center"/>
    </xf>
    <xf numFmtId="9" fontId="3" fillId="0" borderId="1" xfId="0" applyNumberFormat="1" applyFont="1" applyBorder="1" applyAlignment="1">
      <alignment vertical="center"/>
    </xf>
    <xf numFmtId="171" fontId="0" fillId="0" borderId="1" xfId="0" applyNumberFormat="1" applyBorder="1"/>
    <xf numFmtId="172" fontId="0" fillId="0" borderId="1" xfId="0" applyNumberFormat="1" applyBorder="1"/>
    <xf numFmtId="171" fontId="1" fillId="0" borderId="1" xfId="0" applyNumberFormat="1" applyFont="1" applyBorder="1"/>
    <xf numFmtId="171" fontId="6" fillId="0" borderId="1" xfId="0" applyNumberFormat="1" applyFont="1" applyBorder="1"/>
    <xf numFmtId="171" fontId="6" fillId="0" borderId="5" xfId="0" applyNumberFormat="1" applyFont="1" applyBorder="1"/>
    <xf numFmtId="0" fontId="1" fillId="0" borderId="0" xfId="0" applyFont="1"/>
    <xf numFmtId="0" fontId="5" fillId="0" borderId="0" xfId="0" applyFont="1" applyAlignment="1">
      <alignment horizontal="center"/>
    </xf>
    <xf numFmtId="0" fontId="0" fillId="0" borderId="0" xfId="0"/>
    <xf numFmtId="0" fontId="7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6" fillId="0" borderId="7" xfId="0" applyFont="1" applyBorder="1" applyAlignment="1">
      <alignment horizontal="center" vertical="center" wrapText="1"/>
    </xf>
    <xf numFmtId="0" fontId="17" fillId="0" borderId="5" xfId="0" applyFont="1" applyBorder="1"/>
    <xf numFmtId="0" fontId="16" fillId="0" borderId="7" xfId="0" applyFont="1" applyBorder="1" applyAlignment="1">
      <alignment vertical="center" wrapText="1"/>
    </xf>
    <xf numFmtId="0" fontId="16" fillId="0" borderId="2" xfId="0" applyFont="1" applyBorder="1" applyAlignment="1">
      <alignment horizontal="center" vertical="center" wrapText="1"/>
    </xf>
    <xf numFmtId="0" fontId="17" fillId="0" borderId="8" xfId="0" applyFont="1" applyBorder="1"/>
    <xf numFmtId="0" fontId="17" fillId="0" borderId="3" xfId="0" applyFont="1" applyBorder="1"/>
    <xf numFmtId="9" fontId="0" fillId="0" borderId="1" xfId="0" applyNumberFormat="1" applyBorder="1" applyAlignment="1">
      <alignment vertical="center"/>
    </xf>
    <xf numFmtId="171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6" workbookViewId="0">
      <selection activeCell="I13" sqref="I13"/>
    </sheetView>
  </sheetViews>
  <sheetFormatPr defaultColWidth="14.44140625" defaultRowHeight="15" customHeight="1" x14ac:dyDescent="0.3"/>
  <cols>
    <col min="1" max="1" width="5.44140625" customWidth="1"/>
    <col min="2" max="2" width="13.33203125" customWidth="1"/>
    <col min="3" max="3" width="16.6640625" customWidth="1"/>
    <col min="4" max="4" width="11.44140625" customWidth="1"/>
    <col min="5" max="5" width="15" bestFit="1" customWidth="1"/>
    <col min="6" max="6" width="18.109375" bestFit="1" customWidth="1"/>
    <col min="7" max="7" width="14.88671875" customWidth="1"/>
    <col min="8" max="8" width="13.5546875" customWidth="1"/>
    <col min="9" max="9" width="12.6640625" customWidth="1"/>
    <col min="10" max="10" width="18.109375" customWidth="1"/>
    <col min="11" max="26" width="8.6640625" customWidth="1"/>
  </cols>
  <sheetData>
    <row r="1" spans="1:26" ht="17.399999999999999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6.4" x14ac:dyDescent="0.3">
      <c r="A3" s="3" t="s">
        <v>1</v>
      </c>
      <c r="B3" s="3" t="s">
        <v>2</v>
      </c>
      <c r="C3" s="4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6" t="s">
        <v>8</v>
      </c>
      <c r="I3" s="5" t="s">
        <v>9</v>
      </c>
      <c r="J3" s="7" t="s">
        <v>10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8">
        <v>1</v>
      </c>
      <c r="B4" s="9" t="s">
        <v>11</v>
      </c>
      <c r="C4" s="8" t="s">
        <v>12</v>
      </c>
      <c r="D4" s="10" t="str">
        <f t="shared" ref="D4:D15" si="0">VLOOKUP(LEFT(C4,2),BUs,2,0)</f>
        <v>Lorena</v>
      </c>
      <c r="E4" s="10" t="str">
        <f t="shared" ref="E4:E15" si="1">VLOOKUP(LEFT(C4,2),BUs,3,0)</f>
        <v>Jakarta-Denpasar</v>
      </c>
      <c r="F4" s="11" t="str">
        <f t="shared" ref="F4:F15" si="2">VLOOKUP(MID(C4,4,2),kls,2,0)</f>
        <v>Super Eksekutif</v>
      </c>
      <c r="G4" s="12">
        <f t="shared" ref="G4:G15" si="3">VLOOKUP(LEFT(C4,2),BUs,4,0)</f>
        <v>220000</v>
      </c>
      <c r="H4" s="98">
        <f t="shared" ref="H4:H15" si="4">VLOOKUP(MID(C4,4,2),kls,3,0)</f>
        <v>0.75</v>
      </c>
      <c r="I4" s="12">
        <f>(G4*H4)+G4</f>
        <v>385000</v>
      </c>
      <c r="J4" s="8" t="str">
        <f>RIGHT(C4,2)</f>
        <v>01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8">
        <v>2</v>
      </c>
      <c r="B5" s="9" t="s">
        <v>13</v>
      </c>
      <c r="C5" s="8" t="s">
        <v>14</v>
      </c>
      <c r="D5" s="10" t="str">
        <f t="shared" si="0"/>
        <v>Lorena</v>
      </c>
      <c r="E5" s="10" t="str">
        <f t="shared" si="1"/>
        <v>Jakarta-Denpasar</v>
      </c>
      <c r="F5" s="11" t="str">
        <f t="shared" si="2"/>
        <v>Super Eksekutif</v>
      </c>
      <c r="G5" s="12">
        <f t="shared" si="3"/>
        <v>220000</v>
      </c>
      <c r="H5" s="98">
        <f t="shared" si="4"/>
        <v>0.75</v>
      </c>
      <c r="I5" s="12">
        <f t="shared" ref="I5:I15" si="5">(G5*H5)+G5</f>
        <v>385000</v>
      </c>
      <c r="J5" s="8" t="str">
        <f t="shared" ref="J5:J15" si="6">RIGHT(C5,2)</f>
        <v>03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8">
        <v>3</v>
      </c>
      <c r="B6" s="9" t="s">
        <v>15</v>
      </c>
      <c r="C6" s="8" t="s">
        <v>16</v>
      </c>
      <c r="D6" s="10" t="str">
        <f t="shared" si="0"/>
        <v>Setia Negara</v>
      </c>
      <c r="E6" s="10" t="str">
        <f t="shared" si="1"/>
        <v>Jakarta-Semarang</v>
      </c>
      <c r="F6" s="11" t="str">
        <f t="shared" si="2"/>
        <v>Bisnis</v>
      </c>
      <c r="G6" s="12">
        <f t="shared" si="3"/>
        <v>120000</v>
      </c>
      <c r="H6" s="98">
        <f t="shared" si="4"/>
        <v>0.25</v>
      </c>
      <c r="I6" s="12">
        <f t="shared" si="5"/>
        <v>150000</v>
      </c>
      <c r="J6" s="8" t="str">
        <f t="shared" si="6"/>
        <v>02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8">
        <v>4</v>
      </c>
      <c r="B7" s="9" t="s">
        <v>17</v>
      </c>
      <c r="C7" s="8" t="s">
        <v>18</v>
      </c>
      <c r="D7" s="10" t="str">
        <f t="shared" si="0"/>
        <v>Luragung Jaya</v>
      </c>
      <c r="E7" s="10" t="str">
        <f t="shared" si="1"/>
        <v>Jakarta-Cirebon</v>
      </c>
      <c r="F7" s="11" t="str">
        <f t="shared" si="2"/>
        <v>Ekonomi</v>
      </c>
      <c r="G7" s="12">
        <f t="shared" si="3"/>
        <v>40000</v>
      </c>
      <c r="H7" s="98">
        <f t="shared" si="4"/>
        <v>0</v>
      </c>
      <c r="I7" s="12">
        <f t="shared" si="5"/>
        <v>40000</v>
      </c>
      <c r="J7" s="8" t="str">
        <f t="shared" si="6"/>
        <v>02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8">
        <v>5</v>
      </c>
      <c r="B8" s="9" t="s">
        <v>19</v>
      </c>
      <c r="C8" s="8" t="s">
        <v>20</v>
      </c>
      <c r="D8" s="10" t="str">
        <f t="shared" si="0"/>
        <v>Sahabat</v>
      </c>
      <c r="E8" s="10" t="str">
        <f t="shared" si="1"/>
        <v>Jakarta-Kuningan</v>
      </c>
      <c r="F8" s="11" t="str">
        <f t="shared" si="2"/>
        <v>Super Eksekutif</v>
      </c>
      <c r="G8" s="12">
        <f t="shared" si="3"/>
        <v>60000</v>
      </c>
      <c r="H8" s="98">
        <f t="shared" si="4"/>
        <v>0.75</v>
      </c>
      <c r="I8" s="12">
        <f t="shared" si="5"/>
        <v>105000</v>
      </c>
      <c r="J8" s="8" t="str">
        <f t="shared" si="6"/>
        <v>01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8">
        <v>6</v>
      </c>
      <c r="B9" s="9" t="s">
        <v>21</v>
      </c>
      <c r="C9" s="8" t="s">
        <v>22</v>
      </c>
      <c r="D9" s="10" t="str">
        <f t="shared" si="0"/>
        <v>Sami Jaya</v>
      </c>
      <c r="E9" s="10" t="str">
        <f t="shared" si="1"/>
        <v>Jakarta-Surabaya</v>
      </c>
      <c r="F9" s="11" t="str">
        <f t="shared" si="2"/>
        <v>Eksekutif</v>
      </c>
      <c r="G9" s="12">
        <f t="shared" si="3"/>
        <v>190000</v>
      </c>
      <c r="H9" s="98">
        <f t="shared" si="4"/>
        <v>0.5</v>
      </c>
      <c r="I9" s="12">
        <f t="shared" si="5"/>
        <v>285000</v>
      </c>
      <c r="J9" s="8" t="str">
        <f t="shared" si="6"/>
        <v>03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8">
        <v>7</v>
      </c>
      <c r="B10" s="9" t="s">
        <v>23</v>
      </c>
      <c r="C10" s="8" t="s">
        <v>16</v>
      </c>
      <c r="D10" s="10" t="str">
        <f t="shared" si="0"/>
        <v>Setia Negara</v>
      </c>
      <c r="E10" s="10" t="str">
        <f t="shared" si="1"/>
        <v>Jakarta-Semarang</v>
      </c>
      <c r="F10" s="11" t="str">
        <f t="shared" si="2"/>
        <v>Bisnis</v>
      </c>
      <c r="G10" s="12">
        <f t="shared" si="3"/>
        <v>120000</v>
      </c>
      <c r="H10" s="98">
        <f t="shared" si="4"/>
        <v>0.25</v>
      </c>
      <c r="I10" s="12">
        <f t="shared" si="5"/>
        <v>150000</v>
      </c>
      <c r="J10" s="8" t="str">
        <f t="shared" si="6"/>
        <v>02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8">
        <v>8</v>
      </c>
      <c r="B11" s="9" t="s">
        <v>24</v>
      </c>
      <c r="C11" s="8" t="s">
        <v>18</v>
      </c>
      <c r="D11" s="10" t="str">
        <f t="shared" si="0"/>
        <v>Luragung Jaya</v>
      </c>
      <c r="E11" s="10" t="str">
        <f t="shared" si="1"/>
        <v>Jakarta-Cirebon</v>
      </c>
      <c r="F11" s="11" t="str">
        <f t="shared" si="2"/>
        <v>Ekonomi</v>
      </c>
      <c r="G11" s="12">
        <f t="shared" si="3"/>
        <v>40000</v>
      </c>
      <c r="H11" s="98">
        <f t="shared" si="4"/>
        <v>0</v>
      </c>
      <c r="I11" s="12">
        <f t="shared" si="5"/>
        <v>40000</v>
      </c>
      <c r="J11" s="8" t="str">
        <f t="shared" si="6"/>
        <v>02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8">
        <v>9</v>
      </c>
      <c r="B12" s="9" t="s">
        <v>25</v>
      </c>
      <c r="C12" s="8" t="s">
        <v>14</v>
      </c>
      <c r="D12" s="10" t="str">
        <f t="shared" si="0"/>
        <v>Lorena</v>
      </c>
      <c r="E12" s="10" t="str">
        <f t="shared" si="1"/>
        <v>Jakarta-Denpasar</v>
      </c>
      <c r="F12" s="11" t="str">
        <f t="shared" si="2"/>
        <v>Super Eksekutif</v>
      </c>
      <c r="G12" s="12">
        <f t="shared" si="3"/>
        <v>220000</v>
      </c>
      <c r="H12" s="98">
        <f t="shared" si="4"/>
        <v>0.75</v>
      </c>
      <c r="I12" s="12">
        <f t="shared" si="5"/>
        <v>385000</v>
      </c>
      <c r="J12" s="8" t="str">
        <f t="shared" si="6"/>
        <v>03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8">
        <v>10</v>
      </c>
      <c r="B13" s="9" t="s">
        <v>26</v>
      </c>
      <c r="C13" s="8" t="s">
        <v>27</v>
      </c>
      <c r="D13" s="10" t="str">
        <f t="shared" si="0"/>
        <v>Setia Negara</v>
      </c>
      <c r="E13" s="10" t="str">
        <f t="shared" si="1"/>
        <v>Jakarta-Semarang</v>
      </c>
      <c r="F13" s="11" t="str">
        <f t="shared" si="2"/>
        <v>Eksekutif</v>
      </c>
      <c r="G13" s="12">
        <f t="shared" si="3"/>
        <v>120000</v>
      </c>
      <c r="H13" s="98">
        <f t="shared" si="4"/>
        <v>0.5</v>
      </c>
      <c r="I13" s="12" t="s">
        <v>258</v>
      </c>
      <c r="J13" s="8" t="str">
        <f t="shared" si="6"/>
        <v>02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8">
        <v>11</v>
      </c>
      <c r="B14" s="9" t="s">
        <v>28</v>
      </c>
      <c r="C14" s="8" t="s">
        <v>29</v>
      </c>
      <c r="D14" s="10" t="str">
        <f t="shared" si="0"/>
        <v>Luragung Jaya</v>
      </c>
      <c r="E14" s="10" t="str">
        <f t="shared" si="1"/>
        <v>Jakarta-Cirebon</v>
      </c>
      <c r="F14" s="11" t="str">
        <f t="shared" si="2"/>
        <v>Ekonomi</v>
      </c>
      <c r="G14" s="12">
        <f t="shared" si="3"/>
        <v>40000</v>
      </c>
      <c r="H14" s="98">
        <f t="shared" si="4"/>
        <v>0</v>
      </c>
      <c r="I14" s="12">
        <f t="shared" si="5"/>
        <v>40000</v>
      </c>
      <c r="J14" s="8" t="str">
        <f t="shared" si="6"/>
        <v>01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8">
        <v>12</v>
      </c>
      <c r="B15" s="9" t="s">
        <v>30</v>
      </c>
      <c r="C15" s="8" t="s">
        <v>31</v>
      </c>
      <c r="D15" s="10" t="str">
        <f t="shared" si="0"/>
        <v>Sahabat</v>
      </c>
      <c r="E15" s="10" t="str">
        <f t="shared" si="1"/>
        <v>Jakarta-Kuningan</v>
      </c>
      <c r="F15" s="11" t="str">
        <f t="shared" si="2"/>
        <v>Super Eksekutif</v>
      </c>
      <c r="G15" s="12">
        <f t="shared" si="3"/>
        <v>60000</v>
      </c>
      <c r="H15" s="98">
        <f t="shared" si="4"/>
        <v>0.75</v>
      </c>
      <c r="I15" s="12">
        <f t="shared" si="5"/>
        <v>105000</v>
      </c>
      <c r="J15" s="8" t="str">
        <f t="shared" si="6"/>
        <v>03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13"/>
      <c r="B16" s="14"/>
      <c r="C16" s="13"/>
      <c r="D16" s="15"/>
      <c r="E16" s="15"/>
      <c r="F16" s="16"/>
      <c r="G16" s="17"/>
      <c r="H16" s="17"/>
      <c r="I16" s="17"/>
      <c r="J16" s="13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 t="s">
        <v>32</v>
      </c>
      <c r="B17" s="2"/>
      <c r="C17" s="2"/>
      <c r="D17" s="2"/>
      <c r="E17" s="2"/>
      <c r="F17" s="2" t="s">
        <v>33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6.4" x14ac:dyDescent="0.3">
      <c r="A18" s="3" t="s">
        <v>3</v>
      </c>
      <c r="B18" s="3" t="s">
        <v>4</v>
      </c>
      <c r="C18" s="3" t="s">
        <v>5</v>
      </c>
      <c r="D18" s="18" t="s">
        <v>7</v>
      </c>
      <c r="E18" s="14"/>
      <c r="F18" s="5" t="s">
        <v>34</v>
      </c>
      <c r="G18" s="3" t="s">
        <v>6</v>
      </c>
      <c r="H18" s="7" t="s">
        <v>8</v>
      </c>
      <c r="I18" s="14"/>
      <c r="J18" s="14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19" t="s">
        <v>35</v>
      </c>
      <c r="B19" s="19" t="s">
        <v>36</v>
      </c>
      <c r="C19" s="19" t="s">
        <v>37</v>
      </c>
      <c r="D19" s="20">
        <v>220000</v>
      </c>
      <c r="E19" s="2"/>
      <c r="F19" s="21" t="s">
        <v>38</v>
      </c>
      <c r="G19" s="19" t="s">
        <v>39</v>
      </c>
      <c r="H19" s="22">
        <v>0.25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19" t="s">
        <v>40</v>
      </c>
      <c r="B20" s="19" t="s">
        <v>41</v>
      </c>
      <c r="C20" s="19" t="s">
        <v>42</v>
      </c>
      <c r="D20" s="20">
        <v>40000</v>
      </c>
      <c r="E20" s="2"/>
      <c r="F20" s="21" t="s">
        <v>43</v>
      </c>
      <c r="G20" s="19" t="s">
        <v>44</v>
      </c>
      <c r="H20" s="22">
        <v>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19" t="s">
        <v>45</v>
      </c>
      <c r="B21" s="19" t="s">
        <v>46</v>
      </c>
      <c r="C21" s="19" t="s">
        <v>47</v>
      </c>
      <c r="D21" s="20">
        <v>60000</v>
      </c>
      <c r="E21" s="2"/>
      <c r="F21" s="21" t="s">
        <v>48</v>
      </c>
      <c r="G21" s="19" t="s">
        <v>49</v>
      </c>
      <c r="H21" s="22">
        <v>0.5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19" t="s">
        <v>50</v>
      </c>
      <c r="B22" s="19" t="s">
        <v>51</v>
      </c>
      <c r="C22" s="19" t="s">
        <v>52</v>
      </c>
      <c r="D22" s="20">
        <v>190000</v>
      </c>
      <c r="E22" s="2"/>
      <c r="F22" s="21" t="s">
        <v>53</v>
      </c>
      <c r="G22" s="19" t="s">
        <v>54</v>
      </c>
      <c r="H22" s="22">
        <v>0.75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19" t="s">
        <v>55</v>
      </c>
      <c r="B23" s="19" t="s">
        <v>56</v>
      </c>
      <c r="C23" s="19" t="s">
        <v>57</v>
      </c>
      <c r="D23" s="20">
        <v>120000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 t="s">
        <v>58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 t="s">
        <v>59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 t="s">
        <v>60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3" t="s">
        <v>61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3" t="s">
        <v>62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3" t="s">
        <v>63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3" t="s">
        <v>64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3" t="s">
        <v>65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3" t="s">
        <v>66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paperSize="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Z1000"/>
  <sheetViews>
    <sheetView topLeftCell="A7" workbookViewId="0">
      <selection activeCell="R14" sqref="R14"/>
    </sheetView>
  </sheetViews>
  <sheetFormatPr defaultColWidth="14.44140625" defaultRowHeight="15" customHeight="1" x14ac:dyDescent="0.3"/>
  <cols>
    <col min="1" max="1" width="5.109375" customWidth="1"/>
    <col min="2" max="2" width="9.88671875" customWidth="1"/>
    <col min="3" max="3" width="17.33203125" customWidth="1"/>
    <col min="4" max="5" width="10.33203125" customWidth="1"/>
    <col min="6" max="7" width="15.109375" customWidth="1"/>
    <col min="8" max="8" width="9.33203125" customWidth="1"/>
    <col min="9" max="9" width="12.33203125" bestFit="1" customWidth="1"/>
    <col min="10" max="10" width="10.88671875" bestFit="1" customWidth="1"/>
    <col min="11" max="11" width="9.88671875" bestFit="1" customWidth="1"/>
    <col min="12" max="12" width="9.88671875" customWidth="1"/>
    <col min="13" max="14" width="10.88671875" bestFit="1" customWidth="1"/>
    <col min="15" max="15" width="9.88671875" bestFit="1" customWidth="1"/>
    <col min="16" max="16" width="14.88671875" bestFit="1" customWidth="1"/>
    <col min="17" max="17" width="10.88671875" bestFit="1" customWidth="1"/>
    <col min="18" max="18" width="13.44140625" bestFit="1" customWidth="1"/>
    <col min="19" max="26" width="8.6640625" customWidth="1"/>
  </cols>
  <sheetData>
    <row r="2" spans="1:26" ht="28.8" x14ac:dyDescent="0.55000000000000004">
      <c r="A2" s="105" t="s">
        <v>67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</row>
    <row r="3" spans="1:26" ht="14.4" x14ac:dyDescent="0.3">
      <c r="O3" s="24" t="s">
        <v>68</v>
      </c>
      <c r="P3" s="25">
        <v>43399</v>
      </c>
    </row>
    <row r="4" spans="1:26" ht="28.8" x14ac:dyDescent="0.3">
      <c r="A4" s="26" t="s">
        <v>69</v>
      </c>
      <c r="B4" s="26" t="s">
        <v>3</v>
      </c>
      <c r="C4" s="26" t="s">
        <v>70</v>
      </c>
      <c r="D4" s="26" t="s">
        <v>71</v>
      </c>
      <c r="E4" s="26" t="s">
        <v>72</v>
      </c>
      <c r="F4" s="26" t="s">
        <v>73</v>
      </c>
      <c r="G4" s="26" t="s">
        <v>74</v>
      </c>
      <c r="H4" s="26" t="s">
        <v>75</v>
      </c>
      <c r="I4" s="26" t="s">
        <v>76</v>
      </c>
      <c r="J4" s="26" t="s">
        <v>77</v>
      </c>
      <c r="K4" s="26" t="s">
        <v>78</v>
      </c>
      <c r="L4" s="26" t="s">
        <v>79</v>
      </c>
      <c r="M4" s="26" t="s">
        <v>80</v>
      </c>
      <c r="N4" s="26" t="s">
        <v>81</v>
      </c>
      <c r="O4" s="26" t="s">
        <v>82</v>
      </c>
      <c r="P4" s="26" t="s">
        <v>83</v>
      </c>
      <c r="Q4" s="26" t="s">
        <v>84</v>
      </c>
      <c r="R4" s="26" t="s">
        <v>85</v>
      </c>
      <c r="S4" s="27"/>
      <c r="T4" s="27"/>
      <c r="U4" s="27"/>
      <c r="V4" s="27"/>
      <c r="W4" s="27"/>
      <c r="X4" s="27"/>
      <c r="Y4" s="27"/>
      <c r="Z4" s="27"/>
    </row>
    <row r="5" spans="1:26" ht="14.4" x14ac:dyDescent="0.3">
      <c r="A5" s="28">
        <v>1</v>
      </c>
      <c r="B5" s="28" t="s">
        <v>86</v>
      </c>
      <c r="C5" s="29" t="s">
        <v>87</v>
      </c>
      <c r="D5" s="29" t="str">
        <f>VLOOKUP(B5,dta,3,0)</f>
        <v>Direktur</v>
      </c>
      <c r="E5" s="28">
        <v>26</v>
      </c>
      <c r="F5" s="99">
        <f>VLOOKUP(B5,dta,2,0)</f>
        <v>5000000</v>
      </c>
      <c r="G5" s="29" t="s">
        <v>88</v>
      </c>
      <c r="H5" s="28">
        <v>5</v>
      </c>
      <c r="I5" s="99">
        <f>IF(H5&gt;2,2*F5*10%,IF(H5&lt;2,F5*H5*10%,0))</f>
        <v>1000000</v>
      </c>
      <c r="J5" s="99">
        <f>IF(G5="Menikah",F5*7%,0)</f>
        <v>350000.00000000006</v>
      </c>
      <c r="K5" s="99">
        <f>HLOOKUP(D5,data,2,0)</f>
        <v>45000</v>
      </c>
      <c r="L5" s="99">
        <f>HLOOKUP(D5,data,3,0)</f>
        <v>40000</v>
      </c>
      <c r="M5" s="99">
        <v>100000</v>
      </c>
      <c r="N5" s="99">
        <v>500000</v>
      </c>
      <c r="O5" s="99">
        <v>50000</v>
      </c>
      <c r="P5" s="99">
        <f>SUM(I5:L5)</f>
        <v>1435000</v>
      </c>
      <c r="Q5" s="99">
        <f>SUM(M5:O5)</f>
        <v>650000</v>
      </c>
      <c r="R5" s="99">
        <f>F5+P5-Q5</f>
        <v>5785000</v>
      </c>
    </row>
    <row r="6" spans="1:26" ht="14.4" x14ac:dyDescent="0.3">
      <c r="A6" s="28">
        <v>2</v>
      </c>
      <c r="B6" s="28" t="s">
        <v>89</v>
      </c>
      <c r="C6" s="29" t="s">
        <v>90</v>
      </c>
      <c r="D6" s="29" t="str">
        <f>VLOOKUP(B6,dta,3,0)</f>
        <v>Manager</v>
      </c>
      <c r="E6" s="28">
        <v>26</v>
      </c>
      <c r="F6" s="99">
        <f>VLOOKUP(B6,dta,2,0)</f>
        <v>3500000</v>
      </c>
      <c r="G6" s="29" t="s">
        <v>88</v>
      </c>
      <c r="H6" s="28">
        <v>5</v>
      </c>
      <c r="I6" s="99">
        <f t="shared" ref="I6:I9" si="0">IF(H6&gt;2,2*F6*10%,IF(H6&lt;2,F6*H6*10%,0))</f>
        <v>700000</v>
      </c>
      <c r="J6" s="99">
        <f t="shared" ref="J6:J9" si="1">IF(G6="Menikah",F6*7%,0)</f>
        <v>245000.00000000003</v>
      </c>
      <c r="K6" s="99">
        <f>HLOOKUP(D6,data,2,0)</f>
        <v>35000</v>
      </c>
      <c r="L6" s="99">
        <f>HLOOKUP(D6,data,3,0)</f>
        <v>30000</v>
      </c>
      <c r="M6" s="99">
        <v>100000</v>
      </c>
      <c r="N6" s="99">
        <v>500000</v>
      </c>
      <c r="O6" s="99">
        <v>50000</v>
      </c>
      <c r="P6" s="99">
        <f t="shared" ref="P6:P9" si="2">SUM(I6:L6)</f>
        <v>1010000</v>
      </c>
      <c r="Q6" s="99">
        <f t="shared" ref="Q6:Q9" si="3">SUM(M6:O6)</f>
        <v>650000</v>
      </c>
      <c r="R6" s="99">
        <f t="shared" ref="R6:R9" si="4">F6+P6-Q6</f>
        <v>3860000</v>
      </c>
    </row>
    <row r="7" spans="1:26" ht="14.4" x14ac:dyDescent="0.3">
      <c r="A7" s="28">
        <v>3</v>
      </c>
      <c r="B7" s="28" t="s">
        <v>91</v>
      </c>
      <c r="C7" s="29" t="s">
        <v>92</v>
      </c>
      <c r="D7" s="29" t="str">
        <f>VLOOKUP(B7,dta,3,0)</f>
        <v>Staff</v>
      </c>
      <c r="E7" s="28">
        <v>25</v>
      </c>
      <c r="F7" s="99">
        <f>VLOOKUP(B7,dta,2,0)</f>
        <v>2500000</v>
      </c>
      <c r="G7" s="29" t="s">
        <v>88</v>
      </c>
      <c r="H7" s="28">
        <v>3</v>
      </c>
      <c r="I7" s="99">
        <f t="shared" si="0"/>
        <v>500000</v>
      </c>
      <c r="J7" s="99">
        <f t="shared" si="1"/>
        <v>175000.00000000003</v>
      </c>
      <c r="K7" s="99">
        <f>HLOOKUP(D7,data,2,0)</f>
        <v>30000</v>
      </c>
      <c r="L7" s="99">
        <f>HLOOKUP(D7,data,3,0)</f>
        <v>25000</v>
      </c>
      <c r="M7" s="99">
        <v>100000</v>
      </c>
      <c r="N7" s="99">
        <v>500000</v>
      </c>
      <c r="O7" s="99">
        <v>50000</v>
      </c>
      <c r="P7" s="99">
        <f t="shared" si="2"/>
        <v>730000</v>
      </c>
      <c r="Q7" s="99">
        <f t="shared" si="3"/>
        <v>650000</v>
      </c>
      <c r="R7" s="99">
        <f t="shared" si="4"/>
        <v>2580000</v>
      </c>
    </row>
    <row r="8" spans="1:26" ht="14.4" x14ac:dyDescent="0.3">
      <c r="A8" s="28">
        <v>4</v>
      </c>
      <c r="B8" s="28" t="s">
        <v>93</v>
      </c>
      <c r="C8" s="29" t="s">
        <v>94</v>
      </c>
      <c r="D8" s="29" t="str">
        <f>VLOOKUP(B8,dta,3,0)</f>
        <v>Office Boy</v>
      </c>
      <c r="E8" s="28">
        <v>26</v>
      </c>
      <c r="F8" s="99">
        <f>VLOOKUP(B8,dta,2,0)</f>
        <v>1750000</v>
      </c>
      <c r="G8" s="29" t="s">
        <v>95</v>
      </c>
      <c r="H8" s="28">
        <v>0</v>
      </c>
      <c r="I8" s="99">
        <f t="shared" si="0"/>
        <v>0</v>
      </c>
      <c r="J8" s="99">
        <f t="shared" si="1"/>
        <v>0</v>
      </c>
      <c r="K8" s="99">
        <f>HLOOKUP(D8,data,2,0)</f>
        <v>20000</v>
      </c>
      <c r="L8" s="99">
        <f>HLOOKUP(D8,data,3,0)</f>
        <v>25000</v>
      </c>
      <c r="M8" s="99">
        <v>100000</v>
      </c>
      <c r="N8" s="99">
        <v>500000</v>
      </c>
      <c r="O8" s="99">
        <v>50000</v>
      </c>
      <c r="P8" s="99">
        <f t="shared" si="2"/>
        <v>45000</v>
      </c>
      <c r="Q8" s="99">
        <f t="shared" si="3"/>
        <v>650000</v>
      </c>
      <c r="R8" s="99">
        <f t="shared" si="4"/>
        <v>1145000</v>
      </c>
    </row>
    <row r="9" spans="1:26" ht="14.4" x14ac:dyDescent="0.3">
      <c r="A9" s="28">
        <v>5</v>
      </c>
      <c r="B9" s="28" t="s">
        <v>89</v>
      </c>
      <c r="C9" s="29" t="s">
        <v>96</v>
      </c>
      <c r="D9" s="29" t="str">
        <f>VLOOKUP(B9,dta,3,0)</f>
        <v>Manager</v>
      </c>
      <c r="E9" s="28">
        <v>26</v>
      </c>
      <c r="F9" s="99">
        <f>VLOOKUP(B9,dta,2,0)</f>
        <v>3500000</v>
      </c>
      <c r="G9" s="29" t="s">
        <v>88</v>
      </c>
      <c r="H9" s="28">
        <v>1</v>
      </c>
      <c r="I9" s="99">
        <f t="shared" si="0"/>
        <v>350000</v>
      </c>
      <c r="J9" s="99">
        <f t="shared" si="1"/>
        <v>245000.00000000003</v>
      </c>
      <c r="K9" s="99">
        <f>HLOOKUP(D9,data,2,0)</f>
        <v>35000</v>
      </c>
      <c r="L9" s="99">
        <f>HLOOKUP(D9,data,3,0)</f>
        <v>30000</v>
      </c>
      <c r="M9" s="99">
        <v>100000</v>
      </c>
      <c r="N9" s="99">
        <v>500000</v>
      </c>
      <c r="O9" s="99">
        <v>50000</v>
      </c>
      <c r="P9" s="99">
        <f t="shared" si="2"/>
        <v>660000</v>
      </c>
      <c r="Q9" s="99">
        <f t="shared" si="3"/>
        <v>650000</v>
      </c>
      <c r="R9" s="99">
        <f t="shared" si="4"/>
        <v>3510000</v>
      </c>
    </row>
    <row r="10" spans="1:26" ht="14.4" x14ac:dyDescent="0.3">
      <c r="A10" s="30"/>
      <c r="B10" s="30"/>
      <c r="P10" s="31" t="s">
        <v>97</v>
      </c>
      <c r="Q10" s="32"/>
      <c r="R10" s="99">
        <f>SUM(R5:R9)</f>
        <v>16880000</v>
      </c>
    </row>
    <row r="11" spans="1:26" ht="14.4" x14ac:dyDescent="0.3">
      <c r="A11" s="30"/>
      <c r="B11" s="28" t="s">
        <v>3</v>
      </c>
      <c r="C11" s="28" t="s">
        <v>73</v>
      </c>
      <c r="D11" s="28" t="s">
        <v>71</v>
      </c>
      <c r="E11" s="33"/>
      <c r="F11" s="28" t="s">
        <v>71</v>
      </c>
      <c r="G11" s="28" t="s">
        <v>98</v>
      </c>
      <c r="H11" s="28" t="s">
        <v>99</v>
      </c>
      <c r="I11" s="28" t="s">
        <v>100</v>
      </c>
      <c r="J11" s="28" t="s">
        <v>101</v>
      </c>
      <c r="P11" s="31" t="s">
        <v>102</v>
      </c>
      <c r="Q11" s="32"/>
      <c r="R11" s="99">
        <f>MAX(R5:R9)</f>
        <v>5785000</v>
      </c>
    </row>
    <row r="12" spans="1:26" ht="14.4" x14ac:dyDescent="0.3">
      <c r="A12" s="30"/>
      <c r="B12" s="28" t="s">
        <v>86</v>
      </c>
      <c r="C12" s="29">
        <v>5000000</v>
      </c>
      <c r="D12" s="29" t="s">
        <v>98</v>
      </c>
      <c r="E12" s="34"/>
      <c r="F12" s="29" t="s">
        <v>78</v>
      </c>
      <c r="G12" s="35">
        <v>45000</v>
      </c>
      <c r="H12" s="35">
        <v>35000</v>
      </c>
      <c r="I12" s="35">
        <v>30000</v>
      </c>
      <c r="J12" s="35">
        <v>20000</v>
      </c>
      <c r="P12" s="31" t="s">
        <v>103</v>
      </c>
      <c r="Q12" s="32"/>
      <c r="R12" s="99">
        <f>MIN(R5:R9)</f>
        <v>1145000</v>
      </c>
    </row>
    <row r="13" spans="1:26" ht="14.4" x14ac:dyDescent="0.3">
      <c r="A13" s="30"/>
      <c r="B13" s="28" t="s">
        <v>89</v>
      </c>
      <c r="C13" s="29">
        <v>3500000</v>
      </c>
      <c r="D13" s="29" t="s">
        <v>99</v>
      </c>
      <c r="E13" s="34"/>
      <c r="F13" s="29" t="s">
        <v>79</v>
      </c>
      <c r="G13" s="35">
        <v>40000</v>
      </c>
      <c r="H13" s="35">
        <v>30000</v>
      </c>
      <c r="I13" s="35">
        <v>25000</v>
      </c>
      <c r="J13" s="35">
        <v>25000</v>
      </c>
      <c r="P13" s="31" t="s">
        <v>104</v>
      </c>
      <c r="Q13" s="32"/>
      <c r="R13" s="99">
        <f>AVERAGE(R5:R9)</f>
        <v>3376000</v>
      </c>
    </row>
    <row r="14" spans="1:26" ht="14.4" x14ac:dyDescent="0.3">
      <c r="B14" s="28" t="s">
        <v>91</v>
      </c>
      <c r="C14" s="29">
        <v>2500000</v>
      </c>
      <c r="D14" s="29" t="s">
        <v>100</v>
      </c>
      <c r="E14" s="34"/>
    </row>
    <row r="15" spans="1:26" ht="14.4" x14ac:dyDescent="0.3">
      <c r="B15" s="28" t="s">
        <v>93</v>
      </c>
      <c r="C15" s="29">
        <v>1750000</v>
      </c>
      <c r="D15" s="29" t="s">
        <v>101</v>
      </c>
      <c r="E15" s="34"/>
    </row>
    <row r="17" spans="1:26" ht="14.4" x14ac:dyDescent="0.3">
      <c r="B17" s="36" t="s">
        <v>105</v>
      </c>
    </row>
    <row r="18" spans="1:26" ht="14.4" x14ac:dyDescent="0.3">
      <c r="A18" s="37"/>
      <c r="B18" s="37" t="s">
        <v>106</v>
      </c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 ht="14.4" x14ac:dyDescent="0.3">
      <c r="A19" s="37"/>
      <c r="B19" s="37" t="s">
        <v>107</v>
      </c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1:26" ht="14.4" x14ac:dyDescent="0.3">
      <c r="A20" s="37"/>
      <c r="B20" s="37" t="s">
        <v>108</v>
      </c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1:26" ht="15.75" customHeight="1" x14ac:dyDescent="0.3">
      <c r="A21" s="37"/>
      <c r="B21" s="37" t="s">
        <v>109</v>
      </c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1:26" ht="15.75" customHeight="1" x14ac:dyDescent="0.3">
      <c r="A22" s="37"/>
      <c r="B22" s="37" t="s">
        <v>110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 ht="15.75" customHeight="1" x14ac:dyDescent="0.3">
      <c r="A23" s="37"/>
      <c r="B23" s="37" t="s">
        <v>111</v>
      </c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26" ht="15.75" customHeight="1" x14ac:dyDescent="0.3">
      <c r="A24" s="37"/>
      <c r="B24" s="37" t="s">
        <v>112</v>
      </c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26" ht="15.75" customHeight="1" x14ac:dyDescent="0.3">
      <c r="A25" s="37"/>
      <c r="B25" s="37" t="s">
        <v>113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1:26" ht="15.75" customHeight="1" x14ac:dyDescent="0.3">
      <c r="A26" s="37"/>
      <c r="B26" s="37" t="s">
        <v>114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6" ht="15.75" customHeight="1" x14ac:dyDescent="0.3">
      <c r="A27" s="37"/>
      <c r="B27" s="37" t="s">
        <v>115</v>
      </c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1:26" ht="15.75" customHeight="1" x14ac:dyDescent="0.3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pans="1:26" ht="15.75" customHeight="1" x14ac:dyDescent="0.3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spans="1:26" ht="15.75" customHeight="1" x14ac:dyDescent="0.3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6" ht="15.75" customHeight="1" x14ac:dyDescent="0.3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1:26" ht="15.75" customHeight="1" x14ac:dyDescent="0.3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pans="1:26" ht="15.75" customHeight="1" x14ac:dyDescent="0.3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spans="1:26" ht="15.75" customHeight="1" x14ac:dyDescent="0.3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spans="1:26" ht="15.75" customHeight="1" x14ac:dyDescent="0.3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spans="1:26" ht="15.75" customHeight="1" x14ac:dyDescent="0.3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spans="1:26" ht="15.75" customHeight="1" x14ac:dyDescent="0.3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spans="1:26" ht="15.75" customHeight="1" x14ac:dyDescent="0.3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spans="1:26" ht="15.75" customHeight="1" x14ac:dyDescent="0.3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spans="1:26" ht="15.75" customHeight="1" x14ac:dyDescent="0.3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spans="1:26" ht="15.75" customHeight="1" x14ac:dyDescent="0.3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spans="1:26" ht="15.75" customHeight="1" x14ac:dyDescent="0.3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 ht="15.75" customHeight="1" x14ac:dyDescent="0.3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spans="1:26" ht="15.75" customHeight="1" x14ac:dyDescent="0.3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spans="1:26" ht="15.75" customHeight="1" x14ac:dyDescent="0.3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spans="1:26" ht="15.75" customHeight="1" x14ac:dyDescent="0.3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spans="1:26" ht="15.75" customHeight="1" x14ac:dyDescent="0.3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spans="1:26" ht="15.75" customHeight="1" x14ac:dyDescent="0.3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spans="1:26" ht="15.75" customHeight="1" x14ac:dyDescent="0.3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spans="1:26" ht="15.75" customHeight="1" x14ac:dyDescent="0.3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spans="1:26" ht="15.75" customHeight="1" x14ac:dyDescent="0.3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spans="1:26" ht="15.75" customHeight="1" x14ac:dyDescent="0.3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spans="1:26" ht="15.75" customHeight="1" x14ac:dyDescent="0.3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spans="1:26" ht="15.75" customHeight="1" x14ac:dyDescent="0.3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spans="1:26" ht="15.75" customHeight="1" x14ac:dyDescent="0.3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spans="1:26" ht="15.75" customHeight="1" x14ac:dyDescent="0.3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spans="1:26" ht="15.75" customHeight="1" x14ac:dyDescent="0.3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spans="1:26" ht="15.75" customHeight="1" x14ac:dyDescent="0.3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spans="1:26" ht="15.75" customHeight="1" x14ac:dyDescent="0.3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spans="1:26" ht="15.75" customHeight="1" x14ac:dyDescent="0.3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spans="1:26" ht="15.75" customHeight="1" x14ac:dyDescent="0.3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spans="1:26" ht="15.75" customHeight="1" x14ac:dyDescent="0.3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spans="1:26" ht="15.75" customHeight="1" x14ac:dyDescent="0.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spans="1:26" ht="15.75" customHeight="1" x14ac:dyDescent="0.3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spans="1:26" ht="15.75" customHeight="1" x14ac:dyDescent="0.3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spans="1:26" ht="15.75" customHeight="1" x14ac:dyDescent="0.3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spans="1:26" ht="15.75" customHeight="1" x14ac:dyDescent="0.3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spans="1:26" ht="15.75" customHeight="1" x14ac:dyDescent="0.3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spans="1:26" ht="15.75" customHeight="1" x14ac:dyDescent="0.3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spans="1:26" ht="15.75" customHeight="1" x14ac:dyDescent="0.3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spans="1:26" ht="15.75" customHeight="1" x14ac:dyDescent="0.3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spans="1:26" ht="15.75" customHeight="1" x14ac:dyDescent="0.3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spans="1:26" ht="15.75" customHeight="1" x14ac:dyDescent="0.3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spans="1:26" ht="15.75" customHeight="1" x14ac:dyDescent="0.3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spans="1:26" ht="15.75" customHeight="1" x14ac:dyDescent="0.3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spans="1:26" ht="15.75" customHeight="1" x14ac:dyDescent="0.3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spans="1:26" ht="15.75" customHeight="1" x14ac:dyDescent="0.3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spans="1:26" ht="15.75" customHeight="1" x14ac:dyDescent="0.3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spans="1:26" ht="15.75" customHeight="1" x14ac:dyDescent="0.3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spans="1:26" ht="15.75" customHeight="1" x14ac:dyDescent="0.3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spans="1:26" ht="15.75" customHeight="1" x14ac:dyDescent="0.3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spans="1:26" ht="15.75" customHeight="1" x14ac:dyDescent="0.3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spans="1:26" ht="15.75" customHeight="1" x14ac:dyDescent="0.3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spans="1:26" ht="15.75" customHeight="1" x14ac:dyDescent="0.3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spans="1:26" ht="15.75" customHeight="1" x14ac:dyDescent="0.3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spans="1:26" ht="15.75" customHeight="1" x14ac:dyDescent="0.3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spans="1:26" ht="15.75" customHeight="1" x14ac:dyDescent="0.3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spans="1:26" ht="15.75" customHeight="1" x14ac:dyDescent="0.3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spans="1:26" ht="15.75" customHeight="1" x14ac:dyDescent="0.3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spans="1:26" ht="15.75" customHeight="1" x14ac:dyDescent="0.3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spans="1:26" ht="15.75" customHeight="1" x14ac:dyDescent="0.3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spans="1:26" ht="15.75" customHeight="1" x14ac:dyDescent="0.3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spans="1:26" ht="15.75" customHeight="1" x14ac:dyDescent="0.3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spans="1:26" ht="15.75" customHeight="1" x14ac:dyDescent="0.3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spans="1:26" ht="15.75" customHeight="1" x14ac:dyDescent="0.3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spans="1:26" ht="15.75" customHeight="1" x14ac:dyDescent="0.3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spans="1:26" ht="15.75" customHeight="1" x14ac:dyDescent="0.3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spans="1:26" ht="15.75" customHeight="1" x14ac:dyDescent="0.3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spans="1:26" ht="15.75" customHeight="1" x14ac:dyDescent="0.3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spans="1:26" ht="15.75" customHeight="1" x14ac:dyDescent="0.3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spans="1:26" ht="15.75" customHeight="1" x14ac:dyDescent="0.3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spans="1:26" ht="15.75" customHeight="1" x14ac:dyDescent="0.3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spans="1:26" ht="15.75" customHeight="1" x14ac:dyDescent="0.3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spans="1:26" ht="15.75" customHeight="1" x14ac:dyDescent="0.3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spans="1:26" ht="15.75" customHeight="1" x14ac:dyDescent="0.3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spans="1:26" ht="15.75" customHeight="1" x14ac:dyDescent="0.3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spans="1:26" ht="15.75" customHeight="1" x14ac:dyDescent="0.3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spans="1:26" ht="15.75" customHeight="1" x14ac:dyDescent="0.3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spans="1:26" ht="15.75" customHeight="1" x14ac:dyDescent="0.3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spans="1:26" ht="15.75" customHeight="1" x14ac:dyDescent="0.3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spans="1:26" ht="15.75" customHeight="1" x14ac:dyDescent="0.3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spans="1:26" ht="15.75" customHeight="1" x14ac:dyDescent="0.3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spans="1:26" ht="15.75" customHeight="1" x14ac:dyDescent="0.3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spans="1:26" ht="15.75" customHeight="1" x14ac:dyDescent="0.3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spans="1:26" ht="15.75" customHeight="1" x14ac:dyDescent="0.3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spans="1:26" ht="15.75" customHeight="1" x14ac:dyDescent="0.3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spans="1:26" ht="15.75" customHeight="1" x14ac:dyDescent="0.3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ht="15.75" customHeight="1" x14ac:dyDescent="0.3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 ht="15.75" customHeight="1" x14ac:dyDescent="0.3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spans="1:26" ht="15.75" customHeight="1" x14ac:dyDescent="0.3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spans="1:26" ht="15.75" customHeight="1" x14ac:dyDescent="0.3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spans="1:26" ht="15.75" customHeight="1" x14ac:dyDescent="0.3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spans="1:26" ht="15.75" customHeight="1" x14ac:dyDescent="0.3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spans="1:26" ht="15.75" customHeight="1" x14ac:dyDescent="0.3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spans="1:26" ht="15.75" customHeight="1" x14ac:dyDescent="0.3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spans="1:26" ht="15.75" customHeight="1" x14ac:dyDescent="0.3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spans="1:26" ht="15.75" customHeight="1" x14ac:dyDescent="0.3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spans="1:26" ht="15.75" customHeight="1" x14ac:dyDescent="0.3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spans="1:26" ht="15.75" customHeight="1" x14ac:dyDescent="0.3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spans="1:26" ht="15.75" customHeight="1" x14ac:dyDescent="0.3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spans="1:26" ht="15.75" customHeight="1" x14ac:dyDescent="0.3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spans="1:26" ht="15.75" customHeight="1" x14ac:dyDescent="0.3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spans="1:26" ht="15.75" customHeight="1" x14ac:dyDescent="0.3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spans="1:26" ht="15.75" customHeight="1" x14ac:dyDescent="0.3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spans="1:26" ht="15.75" customHeight="1" x14ac:dyDescent="0.3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spans="1:26" ht="15.75" customHeight="1" x14ac:dyDescent="0.3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spans="1:26" ht="15.75" customHeight="1" x14ac:dyDescent="0.3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spans="1:26" ht="15.75" customHeight="1" x14ac:dyDescent="0.3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spans="1:26" ht="15.75" customHeight="1" x14ac:dyDescent="0.3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spans="1:26" ht="15.75" customHeight="1" x14ac:dyDescent="0.3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spans="1:26" ht="15.75" customHeight="1" x14ac:dyDescent="0.3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spans="1:26" ht="15.75" customHeight="1" x14ac:dyDescent="0.3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spans="1:26" ht="15.75" customHeight="1" x14ac:dyDescent="0.3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spans="1:26" ht="15.75" customHeight="1" x14ac:dyDescent="0.3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spans="1:26" ht="15.75" customHeight="1" x14ac:dyDescent="0.3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spans="1:26" ht="15.75" customHeight="1" x14ac:dyDescent="0.3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spans="1:26" ht="15.75" customHeight="1" x14ac:dyDescent="0.3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spans="1:26" ht="15.75" customHeight="1" x14ac:dyDescent="0.3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spans="1:26" ht="15.75" customHeight="1" x14ac:dyDescent="0.3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spans="1:26" ht="15.75" customHeight="1" x14ac:dyDescent="0.3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spans="1:26" ht="15.75" customHeight="1" x14ac:dyDescent="0.3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spans="1:26" ht="15.75" customHeight="1" x14ac:dyDescent="0.3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spans="1:26" ht="15.75" customHeight="1" x14ac:dyDescent="0.3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spans="1:26" ht="15.75" customHeight="1" x14ac:dyDescent="0.3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spans="1:26" ht="15.75" customHeight="1" x14ac:dyDescent="0.3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spans="1:26" ht="15.75" customHeight="1" x14ac:dyDescent="0.3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spans="1:26" ht="15.75" customHeight="1" x14ac:dyDescent="0.3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spans="1:26" ht="15.75" customHeight="1" x14ac:dyDescent="0.3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spans="1:26" ht="15.75" customHeight="1" x14ac:dyDescent="0.3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spans="1:26" ht="15.75" customHeight="1" x14ac:dyDescent="0.3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spans="1:26" ht="15.75" customHeight="1" x14ac:dyDescent="0.3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spans="1:26" ht="15.75" customHeight="1" x14ac:dyDescent="0.3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spans="1:26" ht="15.75" customHeight="1" x14ac:dyDescent="0.3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spans="1:26" ht="15.75" customHeight="1" x14ac:dyDescent="0.3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spans="1:26" ht="15.75" customHeight="1" x14ac:dyDescent="0.3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spans="1:26" ht="15.75" customHeight="1" x14ac:dyDescent="0.3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spans="1:26" ht="15.75" customHeight="1" x14ac:dyDescent="0.3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spans="1:26" ht="15.75" customHeight="1" x14ac:dyDescent="0.3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spans="1:26" ht="15.75" customHeight="1" x14ac:dyDescent="0.3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spans="1:26" ht="15.75" customHeight="1" x14ac:dyDescent="0.3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spans="1:26" ht="15.75" customHeight="1" x14ac:dyDescent="0.3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spans="1:26" ht="15.75" customHeight="1" x14ac:dyDescent="0.3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spans="1:26" ht="15.75" customHeight="1" x14ac:dyDescent="0.3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spans="1:26" ht="15.75" customHeight="1" x14ac:dyDescent="0.3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spans="1:26" ht="15.75" customHeight="1" x14ac:dyDescent="0.3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spans="1:26" ht="15.75" customHeight="1" x14ac:dyDescent="0.3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spans="1:26" ht="15.75" customHeight="1" x14ac:dyDescent="0.3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spans="1:26" ht="15.75" customHeight="1" x14ac:dyDescent="0.3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spans="1:26" ht="15.75" customHeight="1" x14ac:dyDescent="0.3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spans="1:26" ht="15.75" customHeight="1" x14ac:dyDescent="0.3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spans="1:26" ht="15.75" customHeight="1" x14ac:dyDescent="0.3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spans="1:26" ht="15.75" customHeight="1" x14ac:dyDescent="0.3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spans="1:26" ht="15.75" customHeight="1" x14ac:dyDescent="0.3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spans="1:26" ht="15.75" customHeight="1" x14ac:dyDescent="0.3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spans="1:26" ht="15.75" customHeight="1" x14ac:dyDescent="0.3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spans="1:26" ht="15.75" customHeight="1" x14ac:dyDescent="0.3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spans="1:26" ht="15.75" customHeight="1" x14ac:dyDescent="0.3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spans="1:26" ht="15.75" customHeight="1" x14ac:dyDescent="0.3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spans="1:26" ht="15.75" customHeight="1" x14ac:dyDescent="0.3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spans="1:26" ht="15.75" customHeight="1" x14ac:dyDescent="0.3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spans="1:26" ht="15.75" customHeight="1" x14ac:dyDescent="0.3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spans="1:26" ht="15.75" customHeight="1" x14ac:dyDescent="0.3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spans="1:26" ht="15.75" customHeight="1" x14ac:dyDescent="0.3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spans="1:26" ht="15.75" customHeight="1" x14ac:dyDescent="0.3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spans="1:26" ht="15.75" customHeight="1" x14ac:dyDescent="0.3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spans="1:26" ht="15.75" customHeight="1" x14ac:dyDescent="0.3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spans="1:26" ht="15.75" customHeight="1" x14ac:dyDescent="0.3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spans="1:26" ht="15.75" customHeight="1" x14ac:dyDescent="0.3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spans="1:26" ht="15.75" customHeight="1" x14ac:dyDescent="0.3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spans="1:26" ht="15.75" customHeight="1" x14ac:dyDescent="0.3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spans="1:26" ht="15.75" customHeight="1" x14ac:dyDescent="0.3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spans="1:26" ht="15.75" customHeight="1" x14ac:dyDescent="0.3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spans="1:26" ht="15.75" customHeight="1" x14ac:dyDescent="0.3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spans="1:26" ht="15.75" customHeight="1" x14ac:dyDescent="0.3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spans="1:26" ht="15.75" customHeight="1" x14ac:dyDescent="0.3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spans="1:26" ht="15.75" customHeight="1" x14ac:dyDescent="0.3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spans="1:26" ht="15.75" customHeight="1" x14ac:dyDescent="0.3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spans="1:26" ht="15.75" customHeight="1" x14ac:dyDescent="0.3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spans="1:26" ht="15.75" customHeight="1" x14ac:dyDescent="0.3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spans="1:26" ht="15.75" customHeight="1" x14ac:dyDescent="0.3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spans="1:26" ht="15.75" customHeight="1" x14ac:dyDescent="0.3"/>
    <row r="212" spans="1:26" ht="15.75" customHeight="1" x14ac:dyDescent="0.3"/>
    <row r="213" spans="1:26" ht="15.75" customHeight="1" x14ac:dyDescent="0.3"/>
    <row r="214" spans="1:26" ht="15.75" customHeight="1" x14ac:dyDescent="0.3"/>
    <row r="215" spans="1:26" ht="15.75" customHeight="1" x14ac:dyDescent="0.3"/>
    <row r="216" spans="1:26" ht="15.75" customHeight="1" x14ac:dyDescent="0.3"/>
    <row r="217" spans="1:26" ht="15.75" customHeight="1" x14ac:dyDescent="0.3"/>
    <row r="218" spans="1:26" ht="15.75" customHeight="1" x14ac:dyDescent="0.3"/>
    <row r="219" spans="1:26" ht="15.75" customHeight="1" x14ac:dyDescent="0.3"/>
    <row r="220" spans="1:26" ht="15.75" customHeight="1" x14ac:dyDescent="0.3"/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2:R2"/>
  </mergeCells>
  <pageMargins left="0.7" right="0.7" top="0.75" bottom="0.75" header="0" footer="0"/>
  <pageSetup paperSize="5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3F9D2-CF8E-4FD9-A459-CD5B008B66F2}">
  <dimension ref="A1:H1000"/>
  <sheetViews>
    <sheetView topLeftCell="A3" workbookViewId="0">
      <selection activeCell="G7" sqref="G7"/>
    </sheetView>
  </sheetViews>
  <sheetFormatPr defaultColWidth="14.44140625" defaultRowHeight="14.4" x14ac:dyDescent="0.3"/>
  <cols>
    <col min="1" max="1" width="8.6640625" customWidth="1"/>
    <col min="2" max="2" width="12.33203125" customWidth="1"/>
    <col min="3" max="3" width="22.33203125" customWidth="1"/>
    <col min="4" max="4" width="15.88671875" customWidth="1"/>
    <col min="5" max="5" width="11.109375" bestFit="1" customWidth="1"/>
    <col min="6" max="6" width="16.88671875" customWidth="1"/>
    <col min="7" max="7" width="11.33203125" customWidth="1"/>
    <col min="8" max="8" width="12.6640625" bestFit="1" customWidth="1"/>
    <col min="9" max="26" width="8.6640625" customWidth="1"/>
  </cols>
  <sheetData>
    <row r="1" spans="1:8" ht="23.4" x14ac:dyDescent="0.45">
      <c r="A1" s="107" t="s">
        <v>116</v>
      </c>
      <c r="B1" s="106"/>
      <c r="C1" s="106"/>
      <c r="D1" s="106"/>
      <c r="E1" s="106"/>
      <c r="F1" s="106"/>
      <c r="G1" s="106"/>
      <c r="H1" s="106"/>
    </row>
    <row r="3" spans="1:8" x14ac:dyDescent="0.3">
      <c r="B3" s="38" t="s">
        <v>117</v>
      </c>
      <c r="C3" s="39">
        <v>0.05</v>
      </c>
    </row>
    <row r="4" spans="1:8" ht="15.6" x14ac:dyDescent="0.3">
      <c r="A4" s="40" t="s">
        <v>118</v>
      </c>
      <c r="B4" s="40" t="s">
        <v>119</v>
      </c>
      <c r="C4" s="40" t="s">
        <v>120</v>
      </c>
      <c r="D4" s="40" t="s">
        <v>121</v>
      </c>
      <c r="E4" s="40" t="s">
        <v>122</v>
      </c>
      <c r="F4" s="40" t="s">
        <v>123</v>
      </c>
      <c r="G4" s="40" t="s">
        <v>124</v>
      </c>
      <c r="H4" s="40" t="s">
        <v>125</v>
      </c>
    </row>
    <row r="5" spans="1:8" x14ac:dyDescent="0.3">
      <c r="A5" s="41">
        <v>1</v>
      </c>
      <c r="B5" s="42" t="s">
        <v>126</v>
      </c>
      <c r="C5" s="42" t="str">
        <f t="shared" ref="C5:C11" si="0">VLOOKUP(MID(B5,4,2),cd,2,0)</f>
        <v>ALICE IN WONDERLAND</v>
      </c>
      <c r="D5" s="42" t="str">
        <f t="shared" ref="D5:D11" si="1">VLOOKUP(MID(B5,4,2),cd,3,0)</f>
        <v>ADVENTURE</v>
      </c>
      <c r="E5" s="102">
        <f t="shared" ref="E5:E11" si="2">VLOOKUP(RIGHT(B5,3),harga,2,0)</f>
        <v>69000</v>
      </c>
      <c r="F5" s="41">
        <v>6</v>
      </c>
      <c r="G5" s="102">
        <f>IF(F5&gt;=5,E5*$C$3,0)</f>
        <v>3450</v>
      </c>
      <c r="H5" s="102">
        <f t="shared" ref="H5:H11" si="3">(E5*F5)-G5</f>
        <v>410550</v>
      </c>
    </row>
    <row r="6" spans="1:8" x14ac:dyDescent="0.3">
      <c r="A6" s="41">
        <v>2</v>
      </c>
      <c r="B6" s="42" t="s">
        <v>127</v>
      </c>
      <c r="C6" s="42" t="str">
        <f t="shared" si="0"/>
        <v>SKY WAR</v>
      </c>
      <c r="D6" s="42" t="str">
        <f t="shared" si="1"/>
        <v>ACTION</v>
      </c>
      <c r="E6" s="102">
        <f t="shared" si="2"/>
        <v>69000</v>
      </c>
      <c r="F6" s="41">
        <v>7</v>
      </c>
      <c r="G6" s="102">
        <f t="shared" ref="G6:G11" si="4">IF(F6&gt;=5,E6*$C$3,0)</f>
        <v>3450</v>
      </c>
      <c r="H6" s="102">
        <f t="shared" si="3"/>
        <v>479550</v>
      </c>
    </row>
    <row r="7" spans="1:8" x14ac:dyDescent="0.3">
      <c r="A7" s="41">
        <v>3</v>
      </c>
      <c r="B7" s="42" t="s">
        <v>126</v>
      </c>
      <c r="C7" s="42" t="str">
        <f t="shared" si="0"/>
        <v>ALICE IN WONDERLAND</v>
      </c>
      <c r="D7" s="42" t="str">
        <f t="shared" si="1"/>
        <v>ADVENTURE</v>
      </c>
      <c r="E7" s="102">
        <f t="shared" si="2"/>
        <v>69000</v>
      </c>
      <c r="F7" s="41">
        <v>8</v>
      </c>
      <c r="G7" s="102">
        <f t="shared" si="4"/>
        <v>3450</v>
      </c>
      <c r="H7" s="102">
        <f t="shared" si="3"/>
        <v>548550</v>
      </c>
    </row>
    <row r="8" spans="1:8" x14ac:dyDescent="0.3">
      <c r="A8" s="41">
        <v>4</v>
      </c>
      <c r="B8" s="42" t="s">
        <v>128</v>
      </c>
      <c r="C8" s="42" t="str">
        <f t="shared" si="0"/>
        <v>PREMAN IN LOVE</v>
      </c>
      <c r="D8" s="42" t="str">
        <f t="shared" si="1"/>
        <v>COMEDI</v>
      </c>
      <c r="E8" s="102">
        <f t="shared" si="2"/>
        <v>45000</v>
      </c>
      <c r="F8" s="41">
        <v>9</v>
      </c>
      <c r="G8" s="102">
        <f t="shared" si="4"/>
        <v>2250</v>
      </c>
      <c r="H8" s="102">
        <f t="shared" si="3"/>
        <v>402750</v>
      </c>
    </row>
    <row r="9" spans="1:8" x14ac:dyDescent="0.3">
      <c r="A9" s="41">
        <v>5</v>
      </c>
      <c r="B9" s="42" t="s">
        <v>127</v>
      </c>
      <c r="C9" s="42" t="str">
        <f t="shared" si="0"/>
        <v>SKY WAR</v>
      </c>
      <c r="D9" s="42" t="str">
        <f t="shared" si="1"/>
        <v>ACTION</v>
      </c>
      <c r="E9" s="102">
        <f t="shared" si="2"/>
        <v>69000</v>
      </c>
      <c r="F9" s="41">
        <v>10</v>
      </c>
      <c r="G9" s="102">
        <f t="shared" si="4"/>
        <v>3450</v>
      </c>
      <c r="H9" s="102">
        <f t="shared" si="3"/>
        <v>686550</v>
      </c>
    </row>
    <row r="10" spans="1:8" x14ac:dyDescent="0.3">
      <c r="A10" s="41">
        <v>6</v>
      </c>
      <c r="B10" s="42" t="s">
        <v>129</v>
      </c>
      <c r="C10" s="42" t="str">
        <f t="shared" si="0"/>
        <v>WINTER SONATA</v>
      </c>
      <c r="D10" s="42" t="str">
        <f t="shared" si="1"/>
        <v>KOREAN DRAMA</v>
      </c>
      <c r="E10" s="102">
        <f t="shared" si="2"/>
        <v>400000</v>
      </c>
      <c r="F10" s="41">
        <v>11</v>
      </c>
      <c r="G10" s="102">
        <f t="shared" si="4"/>
        <v>20000</v>
      </c>
      <c r="H10" s="102">
        <f t="shared" si="3"/>
        <v>4380000</v>
      </c>
    </row>
    <row r="11" spans="1:8" x14ac:dyDescent="0.3">
      <c r="A11" s="41">
        <v>7</v>
      </c>
      <c r="B11" s="42" t="s">
        <v>128</v>
      </c>
      <c r="C11" s="42" t="str">
        <f t="shared" si="0"/>
        <v>PREMAN IN LOVE</v>
      </c>
      <c r="D11" s="42" t="str">
        <f t="shared" si="1"/>
        <v>COMEDI</v>
      </c>
      <c r="E11" s="102">
        <f t="shared" si="2"/>
        <v>45000</v>
      </c>
      <c r="F11" s="41">
        <v>12</v>
      </c>
      <c r="G11" s="102">
        <f t="shared" si="4"/>
        <v>2250</v>
      </c>
      <c r="H11" s="102">
        <f t="shared" si="3"/>
        <v>537750</v>
      </c>
    </row>
    <row r="12" spans="1:8" x14ac:dyDescent="0.3">
      <c r="A12" s="36"/>
      <c r="B12" s="43"/>
      <c r="C12" s="43"/>
      <c r="D12" s="43"/>
      <c r="E12" s="43"/>
      <c r="F12" s="44" t="s">
        <v>97</v>
      </c>
      <c r="G12" s="103">
        <f>SUM(G5:G11)</f>
        <v>38300</v>
      </c>
      <c r="H12" s="103">
        <f>SUM(H5:H11)</f>
        <v>7445700</v>
      </c>
    </row>
    <row r="13" spans="1:8" x14ac:dyDescent="0.3">
      <c r="A13" s="36"/>
      <c r="B13" s="43"/>
      <c r="C13" s="43"/>
      <c r="D13" s="43"/>
      <c r="E13" s="43"/>
      <c r="F13" s="45" t="s">
        <v>102</v>
      </c>
      <c r="G13" s="102">
        <f>MAX(G5:G11)</f>
        <v>20000</v>
      </c>
      <c r="H13" s="102">
        <f>MAX(H5:H11)</f>
        <v>4380000</v>
      </c>
    </row>
    <row r="14" spans="1:8" x14ac:dyDescent="0.3">
      <c r="A14" s="36"/>
      <c r="B14" s="43"/>
      <c r="C14" s="43"/>
      <c r="D14" s="43"/>
      <c r="E14" s="43"/>
      <c r="F14" s="45" t="s">
        <v>103</v>
      </c>
      <c r="G14" s="102">
        <f>MIN(G5:G11)</f>
        <v>2250</v>
      </c>
      <c r="H14" s="102">
        <f>MIN(H5:H11)</f>
        <v>402750</v>
      </c>
    </row>
    <row r="15" spans="1:8" x14ac:dyDescent="0.3">
      <c r="A15" s="36"/>
      <c r="B15" s="43"/>
      <c r="C15" s="43"/>
      <c r="D15" s="43"/>
      <c r="E15" s="43"/>
      <c r="F15" s="45" t="s">
        <v>130</v>
      </c>
      <c r="G15" s="102">
        <f>AVERAGE(G5:G11)</f>
        <v>5471.4285714285716</v>
      </c>
      <c r="H15" s="102">
        <f>AVERAGE(H5:H11)</f>
        <v>1063671.4285714286</v>
      </c>
    </row>
    <row r="16" spans="1:8" x14ac:dyDescent="0.3">
      <c r="A16" s="36"/>
      <c r="B16" s="43"/>
      <c r="C16" s="43"/>
      <c r="D16" s="43"/>
      <c r="E16" s="43"/>
      <c r="F16" s="45" t="s">
        <v>131</v>
      </c>
      <c r="G16" s="42">
        <f>COUNT(G5:G11)</f>
        <v>7</v>
      </c>
      <c r="H16" s="42">
        <f>COUNT(G5:G11)</f>
        <v>7</v>
      </c>
    </row>
    <row r="18" spans="1:8" x14ac:dyDescent="0.3">
      <c r="B18" s="46" t="s">
        <v>132</v>
      </c>
    </row>
    <row r="20" spans="1:8" x14ac:dyDescent="0.3">
      <c r="A20" s="43"/>
      <c r="B20" s="41" t="s">
        <v>119</v>
      </c>
      <c r="C20" s="41" t="s">
        <v>133</v>
      </c>
      <c r="D20" s="41" t="s">
        <v>121</v>
      </c>
      <c r="E20" s="43"/>
      <c r="F20" s="47" t="s">
        <v>119</v>
      </c>
      <c r="G20" s="47" t="s">
        <v>122</v>
      </c>
      <c r="H20" s="43"/>
    </row>
    <row r="21" spans="1:8" ht="15.75" customHeight="1" x14ac:dyDescent="0.3">
      <c r="A21" s="43"/>
      <c r="B21" s="42" t="s">
        <v>134</v>
      </c>
      <c r="C21" s="42" t="s">
        <v>135</v>
      </c>
      <c r="D21" s="42" t="s">
        <v>136</v>
      </c>
      <c r="E21" s="43"/>
      <c r="F21" s="48" t="s">
        <v>137</v>
      </c>
      <c r="G21" s="49">
        <v>69000</v>
      </c>
      <c r="H21" s="43"/>
    </row>
    <row r="22" spans="1:8" ht="15.75" customHeight="1" x14ac:dyDescent="0.3">
      <c r="A22" s="43"/>
      <c r="B22" s="42" t="s">
        <v>138</v>
      </c>
      <c r="C22" s="42" t="s">
        <v>139</v>
      </c>
      <c r="D22" s="42" t="s">
        <v>140</v>
      </c>
      <c r="E22" s="43"/>
      <c r="F22" s="48" t="s">
        <v>141</v>
      </c>
      <c r="G22" s="49">
        <v>45000</v>
      </c>
      <c r="H22" s="43"/>
    </row>
    <row r="23" spans="1:8" ht="15.75" customHeight="1" x14ac:dyDescent="0.3">
      <c r="A23" s="43"/>
      <c r="B23" s="42" t="s">
        <v>142</v>
      </c>
      <c r="C23" s="42" t="s">
        <v>143</v>
      </c>
      <c r="D23" s="42" t="s">
        <v>144</v>
      </c>
      <c r="E23" s="43"/>
      <c r="F23" s="48" t="s">
        <v>145</v>
      </c>
      <c r="G23" s="49">
        <v>400000</v>
      </c>
      <c r="H23" s="43"/>
    </row>
    <row r="24" spans="1:8" ht="15.75" customHeight="1" x14ac:dyDescent="0.3">
      <c r="A24" s="43"/>
      <c r="B24" s="42" t="s">
        <v>146</v>
      </c>
      <c r="C24" s="42" t="s">
        <v>147</v>
      </c>
      <c r="D24" s="42" t="s">
        <v>148</v>
      </c>
      <c r="E24" s="43"/>
      <c r="F24" s="43"/>
      <c r="G24" s="43"/>
      <c r="H24" s="43"/>
    </row>
    <row r="25" spans="1:8" ht="15.75" customHeight="1" x14ac:dyDescent="0.3">
      <c r="A25" s="43"/>
      <c r="B25" s="43"/>
      <c r="C25" s="43"/>
      <c r="D25" s="43"/>
      <c r="E25" s="43"/>
      <c r="F25" s="43"/>
      <c r="G25" s="43"/>
      <c r="H25" s="43"/>
    </row>
    <row r="26" spans="1:8" ht="15.75" customHeight="1" x14ac:dyDescent="0.3">
      <c r="A26" s="43"/>
      <c r="B26" s="46" t="s">
        <v>149</v>
      </c>
      <c r="C26" s="43"/>
      <c r="D26" s="43"/>
      <c r="E26" s="43"/>
      <c r="F26" s="43"/>
      <c r="G26" s="43"/>
      <c r="H26" s="43"/>
    </row>
    <row r="27" spans="1:8" ht="15.75" customHeight="1" x14ac:dyDescent="0.3">
      <c r="A27" s="43"/>
      <c r="B27" s="46" t="s">
        <v>150</v>
      </c>
      <c r="C27" s="43"/>
      <c r="D27" s="43"/>
      <c r="E27" s="43"/>
      <c r="F27" s="43"/>
      <c r="G27" s="43"/>
      <c r="H27" s="43"/>
    </row>
    <row r="28" spans="1:8" ht="15.75" customHeight="1" x14ac:dyDescent="0.3">
      <c r="A28" s="43"/>
      <c r="B28" s="43" t="s">
        <v>151</v>
      </c>
      <c r="C28" s="43"/>
      <c r="D28" s="43"/>
      <c r="E28" s="43"/>
      <c r="F28" s="43"/>
      <c r="G28" s="43"/>
      <c r="H28" s="43"/>
    </row>
    <row r="29" spans="1:8" ht="15.75" customHeight="1" x14ac:dyDescent="0.3">
      <c r="B29" s="43" t="s">
        <v>152</v>
      </c>
    </row>
    <row r="30" spans="1:8" ht="15.75" customHeight="1" x14ac:dyDescent="0.3">
      <c r="B30" s="43" t="s">
        <v>153</v>
      </c>
    </row>
    <row r="31" spans="1:8" ht="15.75" customHeight="1" x14ac:dyDescent="0.3">
      <c r="B31" s="43" t="s">
        <v>154</v>
      </c>
    </row>
    <row r="32" spans="1:8" ht="15.75" customHeight="1" x14ac:dyDescent="0.3">
      <c r="B32" s="43" t="s">
        <v>155</v>
      </c>
    </row>
    <row r="33" spans="2:2" ht="15.75" customHeight="1" x14ac:dyDescent="0.3">
      <c r="B33" s="43" t="s">
        <v>156</v>
      </c>
    </row>
    <row r="34" spans="2:2" ht="15.75" customHeight="1" x14ac:dyDescent="0.3">
      <c r="B34" s="43" t="s">
        <v>157</v>
      </c>
    </row>
    <row r="35" spans="2:2" ht="15.75" customHeight="1" x14ac:dyDescent="0.3"/>
    <row r="36" spans="2:2" ht="15.75" customHeight="1" x14ac:dyDescent="0.3"/>
    <row r="37" spans="2:2" ht="15.75" customHeight="1" x14ac:dyDescent="0.3"/>
    <row r="38" spans="2:2" ht="15.75" customHeight="1" x14ac:dyDescent="0.3"/>
    <row r="39" spans="2:2" ht="15.75" customHeight="1" x14ac:dyDescent="0.3"/>
    <row r="40" spans="2:2" ht="15.75" customHeight="1" x14ac:dyDescent="0.3"/>
    <row r="41" spans="2:2" ht="15.75" customHeight="1" x14ac:dyDescent="0.3"/>
    <row r="42" spans="2:2" ht="15.75" customHeight="1" x14ac:dyDescent="0.3"/>
    <row r="43" spans="2:2" ht="15.75" customHeight="1" x14ac:dyDescent="0.3"/>
    <row r="44" spans="2:2" ht="15.75" customHeight="1" x14ac:dyDescent="0.3"/>
    <row r="45" spans="2:2" ht="15.75" customHeight="1" x14ac:dyDescent="0.3"/>
    <row r="46" spans="2:2" ht="15.75" customHeight="1" x14ac:dyDescent="0.3"/>
    <row r="47" spans="2:2" ht="15.75" customHeight="1" x14ac:dyDescent="0.3"/>
    <row r="48" spans="2:2" ht="15.75" customHeight="1" x14ac:dyDescent="0.3"/>
    <row r="49" customFormat="1" ht="15.75" customHeight="1" x14ac:dyDescent="0.3"/>
    <row r="50" customFormat="1" ht="15.75" customHeight="1" x14ac:dyDescent="0.3"/>
    <row r="51" customFormat="1" ht="15.75" customHeight="1" x14ac:dyDescent="0.3"/>
    <row r="52" customFormat="1" ht="15.75" customHeight="1" x14ac:dyDescent="0.3"/>
    <row r="53" customFormat="1" ht="15.75" customHeight="1" x14ac:dyDescent="0.3"/>
    <row r="54" customFormat="1" ht="15.75" customHeight="1" x14ac:dyDescent="0.3"/>
    <row r="55" customFormat="1" ht="15.75" customHeight="1" x14ac:dyDescent="0.3"/>
    <row r="56" customFormat="1" ht="15.75" customHeight="1" x14ac:dyDescent="0.3"/>
    <row r="57" customFormat="1" ht="15.75" customHeight="1" x14ac:dyDescent="0.3"/>
    <row r="58" customFormat="1" ht="15.75" customHeight="1" x14ac:dyDescent="0.3"/>
    <row r="59" customFormat="1" ht="15.75" customHeight="1" x14ac:dyDescent="0.3"/>
    <row r="60" customFormat="1" ht="15.75" customHeight="1" x14ac:dyDescent="0.3"/>
    <row r="61" customFormat="1" ht="15.75" customHeight="1" x14ac:dyDescent="0.3"/>
    <row r="62" customFormat="1" ht="15.75" customHeight="1" x14ac:dyDescent="0.3"/>
    <row r="63" customFormat="1" ht="15.75" customHeight="1" x14ac:dyDescent="0.3"/>
    <row r="64" customFormat="1" ht="15.75" customHeight="1" x14ac:dyDescent="0.3"/>
    <row r="65" customFormat="1" ht="15.75" customHeight="1" x14ac:dyDescent="0.3"/>
    <row r="66" customFormat="1" ht="15.75" customHeight="1" x14ac:dyDescent="0.3"/>
    <row r="67" customFormat="1" ht="15.75" customHeight="1" x14ac:dyDescent="0.3"/>
    <row r="68" customFormat="1" ht="15.75" customHeight="1" x14ac:dyDescent="0.3"/>
    <row r="69" customFormat="1" ht="15.75" customHeight="1" x14ac:dyDescent="0.3"/>
    <row r="70" customFormat="1" ht="15.75" customHeight="1" x14ac:dyDescent="0.3"/>
    <row r="71" customFormat="1" ht="15.75" customHeight="1" x14ac:dyDescent="0.3"/>
    <row r="72" customFormat="1" ht="15.75" customHeight="1" x14ac:dyDescent="0.3"/>
    <row r="73" customFormat="1" ht="15.75" customHeight="1" x14ac:dyDescent="0.3"/>
    <row r="74" customFormat="1" ht="15.75" customHeight="1" x14ac:dyDescent="0.3"/>
    <row r="75" customFormat="1" ht="15.75" customHeight="1" x14ac:dyDescent="0.3"/>
    <row r="76" customFormat="1" ht="15.75" customHeight="1" x14ac:dyDescent="0.3"/>
    <row r="77" customFormat="1" ht="15.75" customHeight="1" x14ac:dyDescent="0.3"/>
    <row r="78" customFormat="1" ht="15.75" customHeight="1" x14ac:dyDescent="0.3"/>
    <row r="79" customFormat="1" ht="15.75" customHeight="1" x14ac:dyDescent="0.3"/>
    <row r="80" customFormat="1" ht="15.75" customHeight="1" x14ac:dyDescent="0.3"/>
    <row r="81" customFormat="1" ht="15.75" customHeight="1" x14ac:dyDescent="0.3"/>
    <row r="82" customFormat="1" ht="15.75" customHeight="1" x14ac:dyDescent="0.3"/>
    <row r="83" customFormat="1" ht="15.75" customHeight="1" x14ac:dyDescent="0.3"/>
    <row r="84" customFormat="1" ht="15.75" customHeight="1" x14ac:dyDescent="0.3"/>
    <row r="85" customFormat="1" ht="15.75" customHeight="1" x14ac:dyDescent="0.3"/>
    <row r="86" customFormat="1" ht="15.75" customHeight="1" x14ac:dyDescent="0.3"/>
    <row r="87" customFormat="1" ht="15.75" customHeight="1" x14ac:dyDescent="0.3"/>
    <row r="88" customFormat="1" ht="15.75" customHeight="1" x14ac:dyDescent="0.3"/>
    <row r="89" customFormat="1" ht="15.75" customHeight="1" x14ac:dyDescent="0.3"/>
    <row r="90" customFormat="1" ht="15.75" customHeight="1" x14ac:dyDescent="0.3"/>
    <row r="91" customFormat="1" ht="15.75" customHeight="1" x14ac:dyDescent="0.3"/>
    <row r="92" customFormat="1" ht="15.75" customHeight="1" x14ac:dyDescent="0.3"/>
    <row r="93" customFormat="1" ht="15.75" customHeight="1" x14ac:dyDescent="0.3"/>
    <row r="94" customFormat="1" ht="15.75" customHeight="1" x14ac:dyDescent="0.3"/>
    <row r="95" customFormat="1" ht="15.75" customHeight="1" x14ac:dyDescent="0.3"/>
    <row r="96" customFormat="1" ht="15.75" customHeight="1" x14ac:dyDescent="0.3"/>
    <row r="97" customFormat="1" ht="15.75" customHeight="1" x14ac:dyDescent="0.3"/>
    <row r="98" customFormat="1" ht="15.75" customHeight="1" x14ac:dyDescent="0.3"/>
    <row r="99" customFormat="1" ht="15.75" customHeight="1" x14ac:dyDescent="0.3"/>
    <row r="100" customFormat="1" ht="15.75" customHeight="1" x14ac:dyDescent="0.3"/>
    <row r="101" customFormat="1" ht="15.75" customHeight="1" x14ac:dyDescent="0.3"/>
    <row r="102" customFormat="1" ht="15.75" customHeight="1" x14ac:dyDescent="0.3"/>
    <row r="103" customFormat="1" ht="15.75" customHeight="1" x14ac:dyDescent="0.3"/>
    <row r="104" customFormat="1" ht="15.75" customHeight="1" x14ac:dyDescent="0.3"/>
    <row r="105" customFormat="1" ht="15.75" customHeight="1" x14ac:dyDescent="0.3"/>
    <row r="106" customFormat="1" ht="15.75" customHeight="1" x14ac:dyDescent="0.3"/>
    <row r="107" customFormat="1" ht="15.75" customHeight="1" x14ac:dyDescent="0.3"/>
    <row r="108" customFormat="1" ht="15.75" customHeight="1" x14ac:dyDescent="0.3"/>
    <row r="109" customFormat="1" ht="15.75" customHeight="1" x14ac:dyDescent="0.3"/>
    <row r="110" customFormat="1" ht="15.75" customHeight="1" x14ac:dyDescent="0.3"/>
    <row r="111" customFormat="1" ht="15.75" customHeight="1" x14ac:dyDescent="0.3"/>
    <row r="112" customFormat="1" ht="15.75" customHeight="1" x14ac:dyDescent="0.3"/>
    <row r="113" customFormat="1" ht="15.75" customHeight="1" x14ac:dyDescent="0.3"/>
    <row r="114" customFormat="1" ht="15.75" customHeight="1" x14ac:dyDescent="0.3"/>
    <row r="115" customFormat="1" ht="15.75" customHeight="1" x14ac:dyDescent="0.3"/>
    <row r="116" customFormat="1" ht="15.75" customHeight="1" x14ac:dyDescent="0.3"/>
    <row r="117" customFormat="1" ht="15.75" customHeight="1" x14ac:dyDescent="0.3"/>
    <row r="118" customFormat="1" ht="15.75" customHeight="1" x14ac:dyDescent="0.3"/>
    <row r="119" customFormat="1" ht="15.75" customHeight="1" x14ac:dyDescent="0.3"/>
    <row r="120" customFormat="1" ht="15.75" customHeight="1" x14ac:dyDescent="0.3"/>
    <row r="121" customFormat="1" ht="15.75" customHeight="1" x14ac:dyDescent="0.3"/>
    <row r="122" customFormat="1" ht="15.75" customHeight="1" x14ac:dyDescent="0.3"/>
    <row r="123" customFormat="1" ht="15.75" customHeight="1" x14ac:dyDescent="0.3"/>
    <row r="124" customFormat="1" ht="15.75" customHeight="1" x14ac:dyDescent="0.3"/>
    <row r="125" customFormat="1" ht="15.75" customHeight="1" x14ac:dyDescent="0.3"/>
    <row r="126" customFormat="1" ht="15.75" customHeight="1" x14ac:dyDescent="0.3"/>
    <row r="127" customFormat="1" ht="15.75" customHeight="1" x14ac:dyDescent="0.3"/>
    <row r="128" customFormat="1" ht="15.75" customHeight="1" x14ac:dyDescent="0.3"/>
    <row r="129" customFormat="1" ht="15.75" customHeight="1" x14ac:dyDescent="0.3"/>
    <row r="130" customFormat="1" ht="15.75" customHeight="1" x14ac:dyDescent="0.3"/>
    <row r="131" customFormat="1" ht="15.75" customHeight="1" x14ac:dyDescent="0.3"/>
    <row r="132" customFormat="1" ht="15.75" customHeight="1" x14ac:dyDescent="0.3"/>
    <row r="133" customFormat="1" ht="15.75" customHeight="1" x14ac:dyDescent="0.3"/>
    <row r="134" customFormat="1" ht="15.75" customHeight="1" x14ac:dyDescent="0.3"/>
    <row r="135" customFormat="1" ht="15.75" customHeight="1" x14ac:dyDescent="0.3"/>
    <row r="136" customFormat="1" ht="15.75" customHeight="1" x14ac:dyDescent="0.3"/>
    <row r="137" customFormat="1" ht="15.75" customHeight="1" x14ac:dyDescent="0.3"/>
    <row r="138" customFormat="1" ht="15.75" customHeight="1" x14ac:dyDescent="0.3"/>
    <row r="139" customFormat="1" ht="15.75" customHeight="1" x14ac:dyDescent="0.3"/>
    <row r="140" customFormat="1" ht="15.75" customHeight="1" x14ac:dyDescent="0.3"/>
    <row r="141" customFormat="1" ht="15.75" customHeight="1" x14ac:dyDescent="0.3"/>
    <row r="142" customFormat="1" ht="15.75" customHeight="1" x14ac:dyDescent="0.3"/>
    <row r="143" customFormat="1" ht="15.75" customHeight="1" x14ac:dyDescent="0.3"/>
    <row r="144" customFormat="1" ht="15.75" customHeight="1" x14ac:dyDescent="0.3"/>
    <row r="145" customFormat="1" ht="15.75" customHeight="1" x14ac:dyDescent="0.3"/>
    <row r="146" customFormat="1" ht="15.75" customHeight="1" x14ac:dyDescent="0.3"/>
    <row r="147" customFormat="1" ht="15.75" customHeight="1" x14ac:dyDescent="0.3"/>
    <row r="148" customFormat="1" ht="15.75" customHeight="1" x14ac:dyDescent="0.3"/>
    <row r="149" customFormat="1" ht="15.75" customHeight="1" x14ac:dyDescent="0.3"/>
    <row r="150" customFormat="1" ht="15.75" customHeight="1" x14ac:dyDescent="0.3"/>
    <row r="151" customFormat="1" ht="15.75" customHeight="1" x14ac:dyDescent="0.3"/>
    <row r="152" customFormat="1" ht="15.75" customHeight="1" x14ac:dyDescent="0.3"/>
    <row r="153" customFormat="1" ht="15.75" customHeight="1" x14ac:dyDescent="0.3"/>
    <row r="154" customFormat="1" ht="15.75" customHeight="1" x14ac:dyDescent="0.3"/>
    <row r="155" customFormat="1" ht="15.75" customHeight="1" x14ac:dyDescent="0.3"/>
    <row r="156" customFormat="1" ht="15.75" customHeight="1" x14ac:dyDescent="0.3"/>
    <row r="157" customFormat="1" ht="15.75" customHeight="1" x14ac:dyDescent="0.3"/>
    <row r="158" customFormat="1" ht="15.75" customHeight="1" x14ac:dyDescent="0.3"/>
    <row r="159" customFormat="1" ht="15.75" customHeight="1" x14ac:dyDescent="0.3"/>
    <row r="160" customFormat="1" ht="15.75" customHeight="1" x14ac:dyDescent="0.3"/>
    <row r="161" customFormat="1" ht="15.75" customHeight="1" x14ac:dyDescent="0.3"/>
    <row r="162" customFormat="1" ht="15.75" customHeight="1" x14ac:dyDescent="0.3"/>
    <row r="163" customFormat="1" ht="15.75" customHeight="1" x14ac:dyDescent="0.3"/>
    <row r="164" customFormat="1" ht="15.75" customHeight="1" x14ac:dyDescent="0.3"/>
    <row r="165" customFormat="1" ht="15.75" customHeight="1" x14ac:dyDescent="0.3"/>
    <row r="166" customFormat="1" ht="15.75" customHeight="1" x14ac:dyDescent="0.3"/>
    <row r="167" customFormat="1" ht="15.75" customHeight="1" x14ac:dyDescent="0.3"/>
    <row r="168" customFormat="1" ht="15.75" customHeight="1" x14ac:dyDescent="0.3"/>
    <row r="169" customFormat="1" ht="15.75" customHeight="1" x14ac:dyDescent="0.3"/>
    <row r="170" customFormat="1" ht="15.75" customHeight="1" x14ac:dyDescent="0.3"/>
    <row r="171" customFormat="1" ht="15.75" customHeight="1" x14ac:dyDescent="0.3"/>
    <row r="172" customFormat="1" ht="15.75" customHeight="1" x14ac:dyDescent="0.3"/>
    <row r="173" customFormat="1" ht="15.75" customHeight="1" x14ac:dyDescent="0.3"/>
    <row r="174" customFormat="1" ht="15.75" customHeight="1" x14ac:dyDescent="0.3"/>
    <row r="175" customFormat="1" ht="15.75" customHeight="1" x14ac:dyDescent="0.3"/>
    <row r="176" customFormat="1" ht="15.75" customHeight="1" x14ac:dyDescent="0.3"/>
    <row r="177" customFormat="1" ht="15.75" customHeight="1" x14ac:dyDescent="0.3"/>
    <row r="178" customFormat="1" ht="15.75" customHeight="1" x14ac:dyDescent="0.3"/>
    <row r="179" customFormat="1" ht="15.75" customHeight="1" x14ac:dyDescent="0.3"/>
    <row r="180" customFormat="1" ht="15.75" customHeight="1" x14ac:dyDescent="0.3"/>
    <row r="181" customFormat="1" ht="15.75" customHeight="1" x14ac:dyDescent="0.3"/>
    <row r="182" customFormat="1" ht="15.75" customHeight="1" x14ac:dyDescent="0.3"/>
    <row r="183" customFormat="1" ht="15.75" customHeight="1" x14ac:dyDescent="0.3"/>
    <row r="184" customFormat="1" ht="15.75" customHeight="1" x14ac:dyDescent="0.3"/>
    <row r="185" customFormat="1" ht="15.75" customHeight="1" x14ac:dyDescent="0.3"/>
    <row r="186" customFormat="1" ht="15.75" customHeight="1" x14ac:dyDescent="0.3"/>
    <row r="187" customFormat="1" ht="15.75" customHeight="1" x14ac:dyDescent="0.3"/>
    <row r="188" customFormat="1" ht="15.75" customHeight="1" x14ac:dyDescent="0.3"/>
    <row r="189" customFormat="1" ht="15.75" customHeight="1" x14ac:dyDescent="0.3"/>
    <row r="190" customFormat="1" ht="15.75" customHeight="1" x14ac:dyDescent="0.3"/>
    <row r="191" customFormat="1" ht="15.75" customHeight="1" x14ac:dyDescent="0.3"/>
    <row r="192" customFormat="1" ht="15.75" customHeight="1" x14ac:dyDescent="0.3"/>
    <row r="193" customFormat="1" ht="15.75" customHeight="1" x14ac:dyDescent="0.3"/>
    <row r="194" customFormat="1" ht="15.75" customHeight="1" x14ac:dyDescent="0.3"/>
    <row r="195" customFormat="1" ht="15.75" customHeight="1" x14ac:dyDescent="0.3"/>
    <row r="196" customFormat="1" ht="15.75" customHeight="1" x14ac:dyDescent="0.3"/>
    <row r="197" customFormat="1" ht="15.75" customHeight="1" x14ac:dyDescent="0.3"/>
    <row r="198" customFormat="1" ht="15.75" customHeight="1" x14ac:dyDescent="0.3"/>
    <row r="199" customFormat="1" ht="15.75" customHeight="1" x14ac:dyDescent="0.3"/>
    <row r="200" customFormat="1" ht="15.75" customHeight="1" x14ac:dyDescent="0.3"/>
    <row r="201" customFormat="1" ht="15.75" customHeight="1" x14ac:dyDescent="0.3"/>
    <row r="202" customFormat="1" ht="15.75" customHeight="1" x14ac:dyDescent="0.3"/>
    <row r="203" customFormat="1" ht="15.75" customHeight="1" x14ac:dyDescent="0.3"/>
    <row r="204" customFormat="1" ht="15.75" customHeight="1" x14ac:dyDescent="0.3"/>
    <row r="205" customFormat="1" ht="15.75" customHeight="1" x14ac:dyDescent="0.3"/>
    <row r="206" customFormat="1" ht="15.75" customHeight="1" x14ac:dyDescent="0.3"/>
    <row r="207" customFormat="1" ht="15.75" customHeight="1" x14ac:dyDescent="0.3"/>
    <row r="208" customFormat="1" ht="15.75" customHeight="1" x14ac:dyDescent="0.3"/>
    <row r="209" customFormat="1" ht="15.75" customHeight="1" x14ac:dyDescent="0.3"/>
    <row r="210" customFormat="1" ht="15.75" customHeight="1" x14ac:dyDescent="0.3"/>
    <row r="211" customFormat="1" ht="15.75" customHeight="1" x14ac:dyDescent="0.3"/>
    <row r="212" customFormat="1" ht="15.75" customHeight="1" x14ac:dyDescent="0.3"/>
    <row r="213" customFormat="1" ht="15.75" customHeight="1" x14ac:dyDescent="0.3"/>
    <row r="214" customFormat="1" ht="15.75" customHeight="1" x14ac:dyDescent="0.3"/>
    <row r="215" customFormat="1" ht="15.75" customHeight="1" x14ac:dyDescent="0.3"/>
    <row r="216" customFormat="1" ht="15.75" customHeight="1" x14ac:dyDescent="0.3"/>
    <row r="217" customFormat="1" ht="15.75" customHeight="1" x14ac:dyDescent="0.3"/>
    <row r="218" customFormat="1" ht="15.75" customHeight="1" x14ac:dyDescent="0.3"/>
    <row r="219" customFormat="1" ht="15.75" customHeight="1" x14ac:dyDescent="0.3"/>
    <row r="220" customFormat="1" ht="15.7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workbookViewId="0">
      <selection activeCell="F9" sqref="F9"/>
    </sheetView>
  </sheetViews>
  <sheetFormatPr defaultColWidth="14.44140625" defaultRowHeight="15" customHeight="1" x14ac:dyDescent="0.3"/>
  <cols>
    <col min="1" max="1" width="4.88671875" customWidth="1"/>
    <col min="2" max="2" width="12.88671875" customWidth="1"/>
    <col min="3" max="3" width="12.5546875" customWidth="1"/>
    <col min="4" max="4" width="11.44140625" customWidth="1"/>
    <col min="5" max="5" width="26.33203125" customWidth="1"/>
    <col min="6" max="6" width="16.6640625" customWidth="1"/>
    <col min="7" max="7" width="16.88671875" customWidth="1"/>
    <col min="8" max="8" width="12.33203125" bestFit="1" customWidth="1"/>
    <col min="9" max="9" width="13.44140625" bestFit="1" customWidth="1"/>
    <col min="10" max="26" width="8.6640625" customWidth="1"/>
  </cols>
  <sheetData>
    <row r="1" spans="1:9" ht="25.8" x14ac:dyDescent="0.5">
      <c r="A1" s="108" t="s">
        <v>158</v>
      </c>
      <c r="B1" s="106"/>
      <c r="C1" s="106"/>
      <c r="D1" s="106"/>
      <c r="E1" s="106"/>
      <c r="F1" s="106"/>
      <c r="G1" s="106"/>
      <c r="H1" s="106"/>
      <c r="I1" s="106"/>
    </row>
    <row r="3" spans="1:9" ht="14.4" x14ac:dyDescent="0.3">
      <c r="B3" s="43" t="s">
        <v>159</v>
      </c>
      <c r="G3" s="50" t="s">
        <v>160</v>
      </c>
      <c r="H3" s="51">
        <v>0.1</v>
      </c>
    </row>
    <row r="4" spans="1:9" ht="14.4" x14ac:dyDescent="0.3">
      <c r="G4" s="50" t="s">
        <v>161</v>
      </c>
      <c r="H4" s="51">
        <v>0.3</v>
      </c>
    </row>
    <row r="5" spans="1:9" ht="14.4" x14ac:dyDescent="0.3">
      <c r="A5" s="29" t="s">
        <v>118</v>
      </c>
      <c r="B5" s="29" t="s">
        <v>162</v>
      </c>
      <c r="C5" s="29" t="s">
        <v>163</v>
      </c>
      <c r="D5" s="29" t="s">
        <v>164</v>
      </c>
      <c r="E5" s="29" t="s">
        <v>165</v>
      </c>
      <c r="F5" s="29" t="s">
        <v>166</v>
      </c>
      <c r="G5" s="29" t="s">
        <v>167</v>
      </c>
      <c r="H5" s="29" t="s">
        <v>168</v>
      </c>
      <c r="I5" s="29" t="s">
        <v>97</v>
      </c>
    </row>
    <row r="6" spans="1:9" ht="14.4" x14ac:dyDescent="0.3">
      <c r="A6" s="29">
        <v>1</v>
      </c>
      <c r="B6" s="29" t="s">
        <v>169</v>
      </c>
      <c r="C6" s="29" t="str">
        <f>VLOOKUP(MID(B6,3,1),o,2,0)</f>
        <v>Rice Cooker</v>
      </c>
      <c r="D6" s="99">
        <f>VLOOKUP(RIGHT(B6,2),l,2,0)</f>
        <v>850000</v>
      </c>
      <c r="E6" s="29" t="str">
        <f>VLOOKUP(LEFT(B6,1),p,2,0)</f>
        <v>Hitachi</v>
      </c>
      <c r="F6" s="29">
        <v>20</v>
      </c>
      <c r="G6" s="52">
        <v>44249</v>
      </c>
      <c r="H6" s="100">
        <f>IF(AND(C6="Rice Cooker",E6="Yong Ma"),$H$4*F6*D6,0)</f>
        <v>0</v>
      </c>
      <c r="I6" s="101">
        <f>(F6*D6)-H6</f>
        <v>17000000</v>
      </c>
    </row>
    <row r="7" spans="1:9" ht="14.4" x14ac:dyDescent="0.3">
      <c r="A7" s="29">
        <v>2</v>
      </c>
      <c r="B7" s="29" t="s">
        <v>170</v>
      </c>
      <c r="C7" s="29" t="str">
        <f>VLOOKUP(MID(B7,3,1),o,2,0)</f>
        <v>Blender</v>
      </c>
      <c r="D7" s="99">
        <f>VLOOKUP(RIGHT(B7,2),l,2,0)</f>
        <v>750000</v>
      </c>
      <c r="E7" s="29" t="str">
        <f>VLOOKUP(LEFT(B7,1),p,2,0)</f>
        <v>Philips</v>
      </c>
      <c r="F7" s="29">
        <v>22</v>
      </c>
      <c r="G7" s="52">
        <v>44249</v>
      </c>
      <c r="H7" s="100">
        <f t="shared" ref="H7:H10" si="0">IF(AND(C7="Rice Cooker",E7="Yong Ma"),$H$4*F7*D7,0)</f>
        <v>0</v>
      </c>
      <c r="I7" s="101">
        <f t="shared" ref="I7:I10" si="1">(F7*D7)-H7</f>
        <v>16500000</v>
      </c>
    </row>
    <row r="8" spans="1:9" ht="14.4" x14ac:dyDescent="0.3">
      <c r="A8" s="29">
        <v>3</v>
      </c>
      <c r="B8" s="29" t="s">
        <v>171</v>
      </c>
      <c r="C8" s="29" t="str">
        <f>VLOOKUP(MID(B8,3,1),o,2,0)</f>
        <v>Setrika</v>
      </c>
      <c r="D8" s="99">
        <f>VLOOKUP(RIGHT(B8,2),l,2,0)</f>
        <v>750000</v>
      </c>
      <c r="E8" s="29" t="str">
        <f>VLOOKUP(LEFT(B8,1),p,2,0)</f>
        <v>Philips</v>
      </c>
      <c r="F8" s="29">
        <v>15</v>
      </c>
      <c r="G8" s="52">
        <v>44250</v>
      </c>
      <c r="H8" s="100">
        <f t="shared" si="0"/>
        <v>0</v>
      </c>
      <c r="I8" s="101">
        <f t="shared" si="1"/>
        <v>11250000</v>
      </c>
    </row>
    <row r="9" spans="1:9" ht="14.4" x14ac:dyDescent="0.3">
      <c r="A9" s="29">
        <v>4</v>
      </c>
      <c r="B9" s="29" t="s">
        <v>172</v>
      </c>
      <c r="C9" s="29" t="str">
        <f>VLOOKUP(MID(B9,3,1),o,2,0)</f>
        <v>Rice Cooker</v>
      </c>
      <c r="D9" s="99">
        <f>VLOOKUP(RIGHT(B9,2),l,2,0)</f>
        <v>950000</v>
      </c>
      <c r="E9" s="29" t="str">
        <f>VLOOKUP(LEFT(B9,1),p,2,0)</f>
        <v>Yong Ma</v>
      </c>
      <c r="F9" s="29">
        <v>10</v>
      </c>
      <c r="G9" s="52">
        <v>44250</v>
      </c>
      <c r="H9" s="100">
        <f t="shared" si="0"/>
        <v>2850000</v>
      </c>
      <c r="I9" s="101">
        <f t="shared" si="1"/>
        <v>6650000</v>
      </c>
    </row>
    <row r="10" spans="1:9" ht="14.4" x14ac:dyDescent="0.3">
      <c r="A10" s="29">
        <v>5</v>
      </c>
      <c r="B10" s="29" t="s">
        <v>173</v>
      </c>
      <c r="C10" s="29" t="str">
        <f>VLOOKUP(MID(B10,3,1),o,2,0)</f>
        <v>Setrika</v>
      </c>
      <c r="D10" s="99">
        <f>VLOOKUP(RIGHT(B10,2),l,2,0)</f>
        <v>750000</v>
      </c>
      <c r="E10" s="29" t="str">
        <f>VLOOKUP(LEFT(B10,1),p,2,0)</f>
        <v>Yong Ma</v>
      </c>
      <c r="F10" s="29">
        <v>50</v>
      </c>
      <c r="G10" s="52">
        <v>44251</v>
      </c>
      <c r="H10" s="100">
        <f t="shared" si="0"/>
        <v>0</v>
      </c>
      <c r="I10" s="101">
        <f t="shared" si="1"/>
        <v>37500000</v>
      </c>
    </row>
    <row r="11" spans="1:9" ht="14.4" x14ac:dyDescent="0.3">
      <c r="F11" s="53" t="s">
        <v>97</v>
      </c>
      <c r="G11" s="32"/>
      <c r="H11" s="29"/>
      <c r="I11" s="99">
        <f>SUM(I6:I10)</f>
        <v>88900000</v>
      </c>
    </row>
    <row r="12" spans="1:9" ht="14.4" x14ac:dyDescent="0.3">
      <c r="B12" s="29" t="s">
        <v>3</v>
      </c>
      <c r="C12" s="29" t="s">
        <v>165</v>
      </c>
      <c r="F12" s="53" t="s">
        <v>102</v>
      </c>
      <c r="G12" s="32"/>
      <c r="H12" s="29"/>
      <c r="I12" s="99">
        <f>MAX(I6:I10)</f>
        <v>37500000</v>
      </c>
    </row>
    <row r="13" spans="1:9" ht="14.4" x14ac:dyDescent="0.3">
      <c r="B13" s="29" t="s">
        <v>174</v>
      </c>
      <c r="C13" s="29" t="s">
        <v>175</v>
      </c>
      <c r="F13" s="53" t="s">
        <v>103</v>
      </c>
      <c r="G13" s="32"/>
      <c r="H13" s="29"/>
      <c r="I13" s="99">
        <f>MIN(I6:I10)</f>
        <v>6650000</v>
      </c>
    </row>
    <row r="14" spans="1:9" ht="14.4" x14ac:dyDescent="0.3">
      <c r="B14" s="29" t="s">
        <v>176</v>
      </c>
      <c r="C14" s="29" t="s">
        <v>177</v>
      </c>
      <c r="F14" s="53" t="s">
        <v>131</v>
      </c>
      <c r="G14" s="32"/>
      <c r="H14" s="29"/>
      <c r="I14" s="29">
        <f>COUNT(I6:I10)</f>
        <v>5</v>
      </c>
    </row>
    <row r="15" spans="1:9" ht="14.4" x14ac:dyDescent="0.3">
      <c r="B15" s="29" t="s">
        <v>178</v>
      </c>
      <c r="C15" s="29" t="s">
        <v>179</v>
      </c>
    </row>
    <row r="16" spans="1:9" ht="14.4" x14ac:dyDescent="0.3">
      <c r="E16" s="50" t="s">
        <v>180</v>
      </c>
    </row>
    <row r="17" spans="2:5" ht="14.4" x14ac:dyDescent="0.3">
      <c r="B17" s="29" t="s">
        <v>3</v>
      </c>
      <c r="C17" s="29" t="s">
        <v>163</v>
      </c>
      <c r="E17" s="50" t="s">
        <v>181</v>
      </c>
    </row>
    <row r="18" spans="2:5" ht="14.4" x14ac:dyDescent="0.3">
      <c r="B18" s="29" t="s">
        <v>182</v>
      </c>
      <c r="C18" s="29" t="s">
        <v>183</v>
      </c>
      <c r="E18" s="50" t="s">
        <v>184</v>
      </c>
    </row>
    <row r="19" spans="2:5" ht="14.4" x14ac:dyDescent="0.3">
      <c r="B19" s="29" t="s">
        <v>185</v>
      </c>
      <c r="C19" s="29" t="s">
        <v>186</v>
      </c>
      <c r="E19" s="50" t="s">
        <v>187</v>
      </c>
    </row>
    <row r="20" spans="2:5" ht="14.4" x14ac:dyDescent="0.3">
      <c r="B20" s="29" t="s">
        <v>91</v>
      </c>
      <c r="C20" s="29" t="s">
        <v>188</v>
      </c>
      <c r="E20" s="50" t="s">
        <v>189</v>
      </c>
    </row>
    <row r="21" spans="2:5" ht="15.75" customHeight="1" x14ac:dyDescent="0.3">
      <c r="E21" s="50" t="s">
        <v>190</v>
      </c>
    </row>
    <row r="22" spans="2:5" ht="15.75" customHeight="1" x14ac:dyDescent="0.3">
      <c r="B22" s="29" t="s">
        <v>3</v>
      </c>
      <c r="C22" s="29" t="s">
        <v>164</v>
      </c>
      <c r="E22" s="50" t="s">
        <v>191</v>
      </c>
    </row>
    <row r="23" spans="2:5" ht="15.75" customHeight="1" x14ac:dyDescent="0.3">
      <c r="B23" s="54" t="s">
        <v>192</v>
      </c>
      <c r="C23" s="29">
        <v>850000</v>
      </c>
      <c r="E23" s="50" t="s">
        <v>193</v>
      </c>
    </row>
    <row r="24" spans="2:5" ht="15.75" customHeight="1" x14ac:dyDescent="0.3">
      <c r="B24" s="54" t="s">
        <v>194</v>
      </c>
      <c r="C24" s="29">
        <v>750000</v>
      </c>
      <c r="E24" s="50" t="s">
        <v>195</v>
      </c>
    </row>
    <row r="25" spans="2:5" ht="15.75" customHeight="1" x14ac:dyDescent="0.3">
      <c r="B25" s="54" t="s">
        <v>196</v>
      </c>
      <c r="C25" s="29">
        <v>950000</v>
      </c>
      <c r="E25" s="50" t="s">
        <v>197</v>
      </c>
    </row>
    <row r="26" spans="2:5" ht="15.75" customHeight="1" x14ac:dyDescent="0.3"/>
    <row r="27" spans="2:5" ht="15.75" customHeight="1" x14ac:dyDescent="0.3"/>
    <row r="28" spans="2:5" ht="15.75" customHeight="1" x14ac:dyDescent="0.3"/>
    <row r="29" spans="2:5" ht="15.75" customHeight="1" x14ac:dyDescent="0.3"/>
    <row r="30" spans="2:5" ht="15.75" customHeight="1" x14ac:dyDescent="0.3"/>
    <row r="31" spans="2:5" ht="15.75" customHeight="1" x14ac:dyDescent="0.3"/>
    <row r="32" spans="2: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I1"/>
  </mergeCells>
  <pageMargins left="0.7" right="0.7" top="0.75" bottom="0.75" header="0" footer="0"/>
  <pageSetup paperSize="5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00"/>
  <sheetViews>
    <sheetView workbookViewId="0">
      <selection activeCell="D4" sqref="D4:J15"/>
    </sheetView>
  </sheetViews>
  <sheetFormatPr defaultColWidth="14.44140625" defaultRowHeight="15" customHeight="1" x14ac:dyDescent="0.3"/>
  <cols>
    <col min="1" max="1" width="8.6640625" customWidth="1"/>
    <col min="2" max="2" width="25" customWidth="1"/>
    <col min="3" max="3" width="16.6640625" customWidth="1"/>
    <col min="4" max="4" width="11.44140625" customWidth="1"/>
    <col min="5" max="5" width="15.33203125" bestFit="1" customWidth="1"/>
    <col min="6" max="6" width="13.44140625" bestFit="1" customWidth="1"/>
    <col min="7" max="7" width="14.88671875" customWidth="1"/>
    <col min="8" max="9" width="12.6640625" customWidth="1"/>
    <col min="10" max="10" width="17.5546875" customWidth="1"/>
    <col min="11" max="26" width="8.6640625" customWidth="1"/>
  </cols>
  <sheetData>
    <row r="1" spans="1:10" ht="17.399999999999999" x14ac:dyDescent="0.3">
      <c r="A1" s="55" t="s">
        <v>198</v>
      </c>
    </row>
    <row r="3" spans="1:10" ht="26.4" x14ac:dyDescent="0.3">
      <c r="A3" s="56" t="s">
        <v>1</v>
      </c>
      <c r="B3" s="56" t="s">
        <v>2</v>
      </c>
      <c r="C3" s="57" t="s">
        <v>3</v>
      </c>
      <c r="D3" s="58" t="s">
        <v>4</v>
      </c>
      <c r="E3" s="58" t="s">
        <v>5</v>
      </c>
      <c r="F3" s="58" t="s">
        <v>6</v>
      </c>
      <c r="G3" s="58" t="s">
        <v>7</v>
      </c>
      <c r="H3" s="59" t="s">
        <v>8</v>
      </c>
      <c r="I3" s="58" t="s">
        <v>9</v>
      </c>
      <c r="J3" s="60" t="s">
        <v>10</v>
      </c>
    </row>
    <row r="4" spans="1:10" ht="14.4" x14ac:dyDescent="0.3">
      <c r="A4" s="61">
        <v>1</v>
      </c>
      <c r="B4" s="62" t="s">
        <v>11</v>
      </c>
      <c r="C4" s="61" t="s">
        <v>12</v>
      </c>
      <c r="D4" s="63" t="str">
        <f>VLOOKUP(LEFT(C4,2),$A$17:$D$22,2,0)</f>
        <v>Lorena</v>
      </c>
      <c r="E4" s="63" t="str">
        <f>VLOOKUP(LEFT(C4,2),$A$17:$D$22,3,0)</f>
        <v>Jakarta-Denpasar</v>
      </c>
      <c r="F4" s="64" t="str">
        <f>VLOOKUP(MID(C4,4,2),$F$17:$H$21,2,0)</f>
        <v>Super Eksekutif</v>
      </c>
      <c r="G4" s="65">
        <f>VLOOKUP(LEFT(C4,2),$A$17:$D$22,4,0)</f>
        <v>220000</v>
      </c>
      <c r="H4" s="115">
        <f>VLOOKUP(MID(C4,4,2),$F$17:$H$21,3,0)</f>
        <v>0.75</v>
      </c>
      <c r="I4" s="65">
        <f>(G4*H4)+G4</f>
        <v>385000</v>
      </c>
      <c r="J4" s="61" t="str">
        <f>RIGHT(C4,2)</f>
        <v>01</v>
      </c>
    </row>
    <row r="5" spans="1:10" ht="14.4" x14ac:dyDescent="0.3">
      <c r="A5" s="61">
        <v>2</v>
      </c>
      <c r="B5" s="62" t="s">
        <v>13</v>
      </c>
      <c r="C5" s="61" t="s">
        <v>14</v>
      </c>
      <c r="D5" s="63" t="str">
        <f t="shared" ref="D5:D15" si="0">VLOOKUP(LEFT(C5,2),$A$17:$D$22,2,0)</f>
        <v>Lorena</v>
      </c>
      <c r="E5" s="63" t="str">
        <f t="shared" ref="E5:E15" si="1">VLOOKUP(LEFT(C5,2),$A$17:$D$22,3,0)</f>
        <v>Jakarta-Denpasar</v>
      </c>
      <c r="F5" s="64" t="str">
        <f t="shared" ref="F5:F15" si="2">VLOOKUP(MID(C5,4,2),$F$17:$H$21,2,0)</f>
        <v>Super Eksekutif</v>
      </c>
      <c r="G5" s="65">
        <f t="shared" ref="G5:G15" si="3">VLOOKUP(LEFT(C5,2),$A$17:$D$22,4,0)</f>
        <v>220000</v>
      </c>
      <c r="H5" s="115">
        <f t="shared" ref="H5:H15" si="4">VLOOKUP(MID(C5,4,2),$F$17:$H$21,3,0)</f>
        <v>0.75</v>
      </c>
      <c r="I5" s="65">
        <f t="shared" ref="I5:I15" si="5">(G5*H5)+G5</f>
        <v>385000</v>
      </c>
      <c r="J5" s="61" t="str">
        <f t="shared" ref="J5:J15" si="6">RIGHT(C5,2)</f>
        <v>03</v>
      </c>
    </row>
    <row r="6" spans="1:10" ht="14.4" x14ac:dyDescent="0.3">
      <c r="A6" s="61">
        <v>3</v>
      </c>
      <c r="B6" s="62" t="s">
        <v>15</v>
      </c>
      <c r="C6" s="61" t="s">
        <v>16</v>
      </c>
      <c r="D6" s="63" t="str">
        <f t="shared" si="0"/>
        <v>Setia Negara</v>
      </c>
      <c r="E6" s="63" t="str">
        <f t="shared" si="1"/>
        <v>Jakarta-Semarang</v>
      </c>
      <c r="F6" s="64" t="str">
        <f t="shared" si="2"/>
        <v>Bisnis</v>
      </c>
      <c r="G6" s="65">
        <f t="shared" si="3"/>
        <v>120000</v>
      </c>
      <c r="H6" s="115">
        <f t="shared" si="4"/>
        <v>0.25</v>
      </c>
      <c r="I6" s="65">
        <f t="shared" si="5"/>
        <v>150000</v>
      </c>
      <c r="J6" s="61" t="str">
        <f t="shared" si="6"/>
        <v>02</v>
      </c>
    </row>
    <row r="7" spans="1:10" ht="14.4" x14ac:dyDescent="0.3">
      <c r="A7" s="61">
        <v>4</v>
      </c>
      <c r="B7" s="62" t="s">
        <v>17</v>
      </c>
      <c r="C7" s="61" t="s">
        <v>18</v>
      </c>
      <c r="D7" s="63" t="str">
        <f t="shared" si="0"/>
        <v>Luragung Jaya</v>
      </c>
      <c r="E7" s="63" t="str">
        <f t="shared" si="1"/>
        <v>Jakarta-Cirebon</v>
      </c>
      <c r="F7" s="64" t="str">
        <f t="shared" si="2"/>
        <v>Ekonomi</v>
      </c>
      <c r="G7" s="65">
        <f t="shared" si="3"/>
        <v>40000</v>
      </c>
      <c r="H7" s="115">
        <f t="shared" si="4"/>
        <v>0</v>
      </c>
      <c r="I7" s="65">
        <f t="shared" si="5"/>
        <v>40000</v>
      </c>
      <c r="J7" s="61" t="str">
        <f t="shared" si="6"/>
        <v>02</v>
      </c>
    </row>
    <row r="8" spans="1:10" ht="14.4" x14ac:dyDescent="0.3">
      <c r="A8" s="61">
        <v>5</v>
      </c>
      <c r="B8" s="62" t="s">
        <v>19</v>
      </c>
      <c r="C8" s="61" t="s">
        <v>20</v>
      </c>
      <c r="D8" s="63" t="str">
        <f t="shared" si="0"/>
        <v>Sahabat</v>
      </c>
      <c r="E8" s="63" t="str">
        <f t="shared" si="1"/>
        <v>Jakarta-Kuningan</v>
      </c>
      <c r="F8" s="64" t="str">
        <f t="shared" si="2"/>
        <v>Super Eksekutif</v>
      </c>
      <c r="G8" s="65">
        <f t="shared" si="3"/>
        <v>60000</v>
      </c>
      <c r="H8" s="115">
        <f t="shared" si="4"/>
        <v>0.75</v>
      </c>
      <c r="I8" s="65">
        <f t="shared" si="5"/>
        <v>105000</v>
      </c>
      <c r="J8" s="61" t="str">
        <f t="shared" si="6"/>
        <v>01</v>
      </c>
    </row>
    <row r="9" spans="1:10" ht="14.4" x14ac:dyDescent="0.3">
      <c r="A9" s="61">
        <v>6</v>
      </c>
      <c r="B9" s="62" t="s">
        <v>21</v>
      </c>
      <c r="C9" s="61" t="s">
        <v>22</v>
      </c>
      <c r="D9" s="63" t="str">
        <f t="shared" si="0"/>
        <v>Sami Jaya</v>
      </c>
      <c r="E9" s="63" t="str">
        <f t="shared" si="1"/>
        <v>Jakarta-Surabaya</v>
      </c>
      <c r="F9" s="64" t="str">
        <f t="shared" si="2"/>
        <v>Eksekutif</v>
      </c>
      <c r="G9" s="65">
        <f t="shared" si="3"/>
        <v>190000</v>
      </c>
      <c r="H9" s="115">
        <f t="shared" si="4"/>
        <v>0.5</v>
      </c>
      <c r="I9" s="65">
        <f t="shared" si="5"/>
        <v>285000</v>
      </c>
      <c r="J9" s="61" t="str">
        <f t="shared" si="6"/>
        <v>03</v>
      </c>
    </row>
    <row r="10" spans="1:10" ht="14.4" x14ac:dyDescent="0.3">
      <c r="A10" s="61">
        <v>7</v>
      </c>
      <c r="B10" s="62" t="s">
        <v>23</v>
      </c>
      <c r="C10" s="61" t="s">
        <v>16</v>
      </c>
      <c r="D10" s="63" t="str">
        <f t="shared" si="0"/>
        <v>Setia Negara</v>
      </c>
      <c r="E10" s="63" t="str">
        <f t="shared" si="1"/>
        <v>Jakarta-Semarang</v>
      </c>
      <c r="F10" s="64" t="str">
        <f t="shared" si="2"/>
        <v>Bisnis</v>
      </c>
      <c r="G10" s="65">
        <f t="shared" si="3"/>
        <v>120000</v>
      </c>
      <c r="H10" s="115">
        <f t="shared" si="4"/>
        <v>0.25</v>
      </c>
      <c r="I10" s="65">
        <f t="shared" si="5"/>
        <v>150000</v>
      </c>
      <c r="J10" s="61" t="str">
        <f t="shared" si="6"/>
        <v>02</v>
      </c>
    </row>
    <row r="11" spans="1:10" ht="14.4" x14ac:dyDescent="0.3">
      <c r="A11" s="61">
        <v>8</v>
      </c>
      <c r="B11" s="62" t="s">
        <v>24</v>
      </c>
      <c r="C11" s="61" t="s">
        <v>18</v>
      </c>
      <c r="D11" s="63" t="str">
        <f t="shared" si="0"/>
        <v>Luragung Jaya</v>
      </c>
      <c r="E11" s="63" t="str">
        <f t="shared" si="1"/>
        <v>Jakarta-Cirebon</v>
      </c>
      <c r="F11" s="64" t="str">
        <f t="shared" si="2"/>
        <v>Ekonomi</v>
      </c>
      <c r="G11" s="65">
        <f t="shared" si="3"/>
        <v>40000</v>
      </c>
      <c r="H11" s="115">
        <f t="shared" si="4"/>
        <v>0</v>
      </c>
      <c r="I11" s="65">
        <f t="shared" si="5"/>
        <v>40000</v>
      </c>
      <c r="J11" s="61" t="str">
        <f t="shared" si="6"/>
        <v>02</v>
      </c>
    </row>
    <row r="12" spans="1:10" ht="14.4" x14ac:dyDescent="0.3">
      <c r="A12" s="61">
        <v>9</v>
      </c>
      <c r="B12" s="62" t="s">
        <v>25</v>
      </c>
      <c r="C12" s="61" t="s">
        <v>14</v>
      </c>
      <c r="D12" s="63" t="str">
        <f t="shared" si="0"/>
        <v>Lorena</v>
      </c>
      <c r="E12" s="63" t="str">
        <f t="shared" si="1"/>
        <v>Jakarta-Denpasar</v>
      </c>
      <c r="F12" s="64" t="str">
        <f t="shared" si="2"/>
        <v>Super Eksekutif</v>
      </c>
      <c r="G12" s="65">
        <f t="shared" si="3"/>
        <v>220000</v>
      </c>
      <c r="H12" s="115">
        <f t="shared" si="4"/>
        <v>0.75</v>
      </c>
      <c r="I12" s="65">
        <f t="shared" si="5"/>
        <v>385000</v>
      </c>
      <c r="J12" s="61" t="str">
        <f t="shared" si="6"/>
        <v>03</v>
      </c>
    </row>
    <row r="13" spans="1:10" ht="14.4" x14ac:dyDescent="0.3">
      <c r="A13" s="61">
        <v>10</v>
      </c>
      <c r="B13" s="62" t="s">
        <v>26</v>
      </c>
      <c r="C13" s="61" t="s">
        <v>27</v>
      </c>
      <c r="D13" s="63" t="str">
        <f t="shared" si="0"/>
        <v>Setia Negara</v>
      </c>
      <c r="E13" s="63" t="str">
        <f t="shared" si="1"/>
        <v>Jakarta-Semarang</v>
      </c>
      <c r="F13" s="64" t="str">
        <f t="shared" si="2"/>
        <v>Eksekutif</v>
      </c>
      <c r="G13" s="65">
        <f t="shared" si="3"/>
        <v>120000</v>
      </c>
      <c r="H13" s="115">
        <f t="shared" si="4"/>
        <v>0.5</v>
      </c>
      <c r="I13" s="65">
        <f t="shared" si="5"/>
        <v>180000</v>
      </c>
      <c r="J13" s="61" t="str">
        <f t="shared" si="6"/>
        <v>02</v>
      </c>
    </row>
    <row r="14" spans="1:10" ht="14.4" x14ac:dyDescent="0.3">
      <c r="A14" s="61">
        <v>11</v>
      </c>
      <c r="B14" s="62" t="s">
        <v>28</v>
      </c>
      <c r="C14" s="61" t="s">
        <v>29</v>
      </c>
      <c r="D14" s="63" t="str">
        <f t="shared" si="0"/>
        <v>Luragung Jaya</v>
      </c>
      <c r="E14" s="63" t="str">
        <f t="shared" si="1"/>
        <v>Jakarta-Cirebon</v>
      </c>
      <c r="F14" s="64" t="str">
        <f t="shared" si="2"/>
        <v>Ekonomi</v>
      </c>
      <c r="G14" s="65">
        <f t="shared" si="3"/>
        <v>40000</v>
      </c>
      <c r="H14" s="115">
        <f t="shared" si="4"/>
        <v>0</v>
      </c>
      <c r="I14" s="65">
        <f t="shared" si="5"/>
        <v>40000</v>
      </c>
      <c r="J14" s="61" t="str">
        <f t="shared" si="6"/>
        <v>01</v>
      </c>
    </row>
    <row r="15" spans="1:10" ht="14.4" x14ac:dyDescent="0.3">
      <c r="A15" s="61">
        <v>12</v>
      </c>
      <c r="B15" s="62" t="s">
        <v>30</v>
      </c>
      <c r="C15" s="61" t="s">
        <v>31</v>
      </c>
      <c r="D15" s="63" t="str">
        <f t="shared" si="0"/>
        <v>Sahabat</v>
      </c>
      <c r="E15" s="63" t="str">
        <f t="shared" si="1"/>
        <v>Jakarta-Kuningan</v>
      </c>
      <c r="F15" s="64" t="str">
        <f t="shared" si="2"/>
        <v>Super Eksekutif</v>
      </c>
      <c r="G15" s="65">
        <f t="shared" si="3"/>
        <v>60000</v>
      </c>
      <c r="H15" s="115">
        <f t="shared" si="4"/>
        <v>0.75</v>
      </c>
      <c r="I15" s="65">
        <f t="shared" si="5"/>
        <v>105000</v>
      </c>
      <c r="J15" s="61" t="str">
        <f t="shared" si="6"/>
        <v>03</v>
      </c>
    </row>
    <row r="17" spans="1:10" ht="26.4" x14ac:dyDescent="0.3">
      <c r="A17" s="66" t="s">
        <v>3</v>
      </c>
      <c r="B17" s="66" t="s">
        <v>4</v>
      </c>
      <c r="C17" s="66" t="s">
        <v>5</v>
      </c>
      <c r="D17" s="67" t="s">
        <v>7</v>
      </c>
      <c r="E17" s="68"/>
      <c r="F17" s="69" t="s">
        <v>34</v>
      </c>
      <c r="G17" s="66" t="s">
        <v>6</v>
      </c>
      <c r="H17" s="70" t="s">
        <v>8</v>
      </c>
      <c r="I17" s="68"/>
      <c r="J17" s="68"/>
    </row>
    <row r="18" spans="1:10" ht="14.4" x14ac:dyDescent="0.3">
      <c r="A18" s="29" t="s">
        <v>35</v>
      </c>
      <c r="B18" s="29" t="s">
        <v>36</v>
      </c>
      <c r="C18" s="29" t="s">
        <v>37</v>
      </c>
      <c r="D18" s="71">
        <v>220000</v>
      </c>
      <c r="F18" s="72" t="s">
        <v>38</v>
      </c>
      <c r="G18" s="29" t="s">
        <v>39</v>
      </c>
      <c r="H18" s="73">
        <v>0.25</v>
      </c>
    </row>
    <row r="19" spans="1:10" ht="14.4" x14ac:dyDescent="0.3">
      <c r="A19" s="29" t="s">
        <v>40</v>
      </c>
      <c r="B19" s="29" t="s">
        <v>41</v>
      </c>
      <c r="C19" s="29" t="s">
        <v>42</v>
      </c>
      <c r="D19" s="71">
        <v>40000</v>
      </c>
      <c r="F19" s="72" t="s">
        <v>43</v>
      </c>
      <c r="G19" s="29" t="s">
        <v>44</v>
      </c>
      <c r="H19" s="73">
        <v>0</v>
      </c>
    </row>
    <row r="20" spans="1:10" ht="14.4" x14ac:dyDescent="0.3">
      <c r="A20" s="29" t="s">
        <v>45</v>
      </c>
      <c r="B20" s="29" t="s">
        <v>46</v>
      </c>
      <c r="C20" s="29" t="s">
        <v>47</v>
      </c>
      <c r="D20" s="71">
        <v>60000</v>
      </c>
      <c r="F20" s="72" t="s">
        <v>48</v>
      </c>
      <c r="G20" s="29" t="s">
        <v>49</v>
      </c>
      <c r="H20" s="73">
        <v>0.5</v>
      </c>
    </row>
    <row r="21" spans="1:10" ht="15.75" customHeight="1" x14ac:dyDescent="0.3">
      <c r="A21" s="29" t="s">
        <v>50</v>
      </c>
      <c r="B21" s="29" t="s">
        <v>51</v>
      </c>
      <c r="C21" s="29" t="s">
        <v>52</v>
      </c>
      <c r="D21" s="71">
        <v>190000</v>
      </c>
      <c r="F21" s="72" t="s">
        <v>53</v>
      </c>
      <c r="G21" s="29" t="s">
        <v>54</v>
      </c>
      <c r="H21" s="73">
        <v>0.75</v>
      </c>
    </row>
    <row r="22" spans="1:10" ht="15.75" customHeight="1" x14ac:dyDescent="0.3">
      <c r="A22" s="29" t="s">
        <v>55</v>
      </c>
      <c r="B22" s="29" t="s">
        <v>56</v>
      </c>
      <c r="C22" s="29" t="s">
        <v>57</v>
      </c>
      <c r="D22" s="71">
        <v>120000</v>
      </c>
    </row>
    <row r="23" spans="1:10" ht="15.75" customHeight="1" x14ac:dyDescent="0.3"/>
    <row r="24" spans="1:10" ht="15.75" customHeight="1" x14ac:dyDescent="0.3">
      <c r="B24" s="104" t="s">
        <v>199</v>
      </c>
    </row>
    <row r="25" spans="1:10" ht="15.75" customHeight="1" x14ac:dyDescent="0.3">
      <c r="B25" t="s">
        <v>59</v>
      </c>
    </row>
    <row r="26" spans="1:10" ht="15.75" customHeight="1" x14ac:dyDescent="0.3">
      <c r="B26" t="s">
        <v>60</v>
      </c>
    </row>
    <row r="27" spans="1:10" ht="15.75" customHeight="1" x14ac:dyDescent="0.3">
      <c r="B27" t="s">
        <v>200</v>
      </c>
    </row>
    <row r="28" spans="1:10" ht="15.75" customHeight="1" x14ac:dyDescent="0.3">
      <c r="B28" t="s">
        <v>201</v>
      </c>
    </row>
    <row r="29" spans="1:10" ht="15.75" customHeight="1" x14ac:dyDescent="0.3">
      <c r="B29" t="s">
        <v>202</v>
      </c>
    </row>
    <row r="30" spans="1:10" ht="15.75" customHeight="1" x14ac:dyDescent="0.3">
      <c r="B30" t="s">
        <v>203</v>
      </c>
    </row>
    <row r="31" spans="1:10" ht="15.75" customHeight="1" x14ac:dyDescent="0.3"/>
    <row r="32" spans="1:1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paperSize="5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abSelected="1" topLeftCell="A3" workbookViewId="0">
      <selection activeCell="R10" sqref="R10"/>
    </sheetView>
  </sheetViews>
  <sheetFormatPr defaultColWidth="14.44140625" defaultRowHeight="15" customHeight="1" x14ac:dyDescent="0.3"/>
  <cols>
    <col min="1" max="1" width="5.44140625" customWidth="1"/>
    <col min="2" max="2" width="20.109375" customWidth="1"/>
    <col min="3" max="3" width="10.44140625" customWidth="1"/>
    <col min="4" max="4" width="11" customWidth="1"/>
    <col min="5" max="5" width="11.5546875" customWidth="1"/>
    <col min="6" max="6" width="8.6640625" customWidth="1"/>
    <col min="7" max="7" width="10" customWidth="1"/>
    <col min="8" max="8" width="8.6640625" customWidth="1"/>
    <col min="9" max="9" width="12.5546875" customWidth="1"/>
    <col min="10" max="10" width="10.44140625" customWidth="1"/>
    <col min="11" max="11" width="12.33203125" bestFit="1" customWidth="1"/>
    <col min="12" max="12" width="8.6640625" customWidth="1"/>
    <col min="13" max="15" width="8.44140625" customWidth="1"/>
    <col min="16" max="16" width="12.33203125" bestFit="1" customWidth="1"/>
    <col min="17" max="19" width="10.88671875" bestFit="1" customWidth="1"/>
    <col min="20" max="21" width="12.33203125" bestFit="1" customWidth="1"/>
    <col min="22" max="26" width="8.6640625" customWidth="1"/>
  </cols>
  <sheetData>
    <row r="1" spans="1:26" ht="17.399999999999999" x14ac:dyDescent="0.3">
      <c r="A1" s="55" t="s">
        <v>204</v>
      </c>
      <c r="E1" s="30"/>
      <c r="F1" s="30"/>
      <c r="G1" s="30"/>
    </row>
    <row r="2" spans="1:26" ht="17.399999999999999" x14ac:dyDescent="0.3">
      <c r="A2" s="55"/>
      <c r="E2" s="30"/>
      <c r="F2" s="30"/>
      <c r="G2" s="30"/>
      <c r="Q2" s="43" t="s">
        <v>160</v>
      </c>
      <c r="R2" s="74">
        <v>0.05</v>
      </c>
    </row>
    <row r="3" spans="1:26" ht="17.399999999999999" x14ac:dyDescent="0.3">
      <c r="A3" s="55"/>
      <c r="E3" s="30"/>
      <c r="F3" s="30"/>
      <c r="G3" s="30"/>
      <c r="Q3" s="43" t="s">
        <v>205</v>
      </c>
      <c r="R3" s="74">
        <v>7.0000000000000007E-2</v>
      </c>
    </row>
    <row r="4" spans="1:26" ht="14.4" x14ac:dyDescent="0.3">
      <c r="B4" s="75">
        <v>40066</v>
      </c>
      <c r="E4" s="30"/>
      <c r="F4" s="30"/>
      <c r="G4" s="30"/>
      <c r="Q4" s="43" t="s">
        <v>206</v>
      </c>
      <c r="R4" s="74">
        <v>0.05</v>
      </c>
    </row>
    <row r="5" spans="1:26" ht="14.4" x14ac:dyDescent="0.3">
      <c r="A5" s="111" t="s">
        <v>1</v>
      </c>
      <c r="B5" s="111" t="s">
        <v>2</v>
      </c>
      <c r="C5" s="109" t="s">
        <v>207</v>
      </c>
      <c r="D5" s="109" t="s">
        <v>208</v>
      </c>
      <c r="E5" s="111" t="s">
        <v>209</v>
      </c>
      <c r="F5" s="111" t="s">
        <v>74</v>
      </c>
      <c r="G5" s="109" t="s">
        <v>210</v>
      </c>
      <c r="H5" s="109" t="s">
        <v>211</v>
      </c>
      <c r="I5" s="109" t="s">
        <v>71</v>
      </c>
      <c r="J5" s="109" t="s">
        <v>212</v>
      </c>
      <c r="K5" s="111" t="s">
        <v>73</v>
      </c>
      <c r="L5" s="112" t="s">
        <v>213</v>
      </c>
      <c r="M5" s="113"/>
      <c r="N5" s="114"/>
      <c r="O5" s="76" t="s">
        <v>97</v>
      </c>
      <c r="P5" s="109" t="s">
        <v>214</v>
      </c>
      <c r="Q5" s="109" t="s">
        <v>160</v>
      </c>
      <c r="R5" s="109" t="s">
        <v>205</v>
      </c>
      <c r="S5" s="109" t="s">
        <v>206</v>
      </c>
      <c r="T5" s="109" t="s">
        <v>85</v>
      </c>
      <c r="U5" s="109" t="s">
        <v>215</v>
      </c>
      <c r="V5" s="77"/>
      <c r="W5" s="77"/>
      <c r="X5" s="77"/>
      <c r="Y5" s="77"/>
      <c r="Z5" s="77"/>
    </row>
    <row r="6" spans="1:26" ht="26.4" x14ac:dyDescent="0.3">
      <c r="A6" s="110"/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76" t="s">
        <v>71</v>
      </c>
      <c r="M6" s="76" t="s">
        <v>216</v>
      </c>
      <c r="N6" s="76" t="s">
        <v>217</v>
      </c>
      <c r="O6" s="76" t="s">
        <v>218</v>
      </c>
      <c r="P6" s="110"/>
      <c r="Q6" s="110"/>
      <c r="R6" s="110"/>
      <c r="S6" s="110"/>
      <c r="T6" s="110"/>
      <c r="U6" s="110"/>
      <c r="V6" s="78"/>
      <c r="W6" s="78"/>
      <c r="X6" s="78"/>
      <c r="Y6" s="78"/>
      <c r="Z6" s="78"/>
    </row>
    <row r="7" spans="1:26" ht="14.4" x14ac:dyDescent="0.3">
      <c r="A7" s="61">
        <v>1</v>
      </c>
      <c r="B7" s="62" t="s">
        <v>219</v>
      </c>
      <c r="C7" s="61">
        <v>10110</v>
      </c>
      <c r="D7" s="79">
        <v>29373</v>
      </c>
      <c r="E7" s="61">
        <v>1</v>
      </c>
      <c r="F7" s="80" t="s">
        <v>220</v>
      </c>
      <c r="G7" s="80">
        <v>4</v>
      </c>
      <c r="H7" s="61" t="s">
        <v>221</v>
      </c>
      <c r="I7" s="62" t="str">
        <f>VLOOKUP(H7,$A$21:$E$25,2,0)</f>
        <v>Direktur</v>
      </c>
      <c r="J7" s="81">
        <f>YEAR($B$4) - YEAR(D7)</f>
        <v>29</v>
      </c>
      <c r="K7" s="116">
        <f>VLOOKUP(E7,$A$27:$B$31,2,0)</f>
        <v>5000000</v>
      </c>
      <c r="L7" s="115">
        <f>VLOOKUP(H7,$A$21:$E$25,3,0)</f>
        <v>0.4</v>
      </c>
      <c r="M7" s="115">
        <f>VLOOKUP(H7,$A$21:$E$25,4,0)</f>
        <v>0.2</v>
      </c>
      <c r="N7" s="115">
        <f>VLOOKUP(H7,$A$21:$E$25,5,0)</f>
        <v>0.15</v>
      </c>
      <c r="O7" s="115">
        <f>SUM(L7:N7)</f>
        <v>0.75000000000000011</v>
      </c>
      <c r="P7" s="116">
        <f>(K7*O7)+K7</f>
        <v>8750000</v>
      </c>
      <c r="Q7" s="116">
        <f>$R$2*K7</f>
        <v>250000</v>
      </c>
      <c r="R7" s="116">
        <f>$R$3*K7</f>
        <v>350000.00000000006</v>
      </c>
      <c r="S7" s="116">
        <f>$R$4*K7</f>
        <v>250000</v>
      </c>
      <c r="T7" s="116">
        <f>P7-Q7-R7-S7</f>
        <v>7900000</v>
      </c>
      <c r="U7" s="116">
        <f>T7</f>
        <v>7900000</v>
      </c>
      <c r="V7" s="68"/>
      <c r="W7" s="68"/>
      <c r="X7" s="68"/>
      <c r="Y7" s="68"/>
      <c r="Z7" s="68"/>
    </row>
    <row r="8" spans="1:26" ht="14.4" x14ac:dyDescent="0.3">
      <c r="A8" s="61">
        <v>2</v>
      </c>
      <c r="B8" s="62" t="s">
        <v>222</v>
      </c>
      <c r="C8" s="61">
        <v>10112</v>
      </c>
      <c r="D8" s="79">
        <v>30632</v>
      </c>
      <c r="E8" s="61">
        <v>3</v>
      </c>
      <c r="F8" s="80" t="s">
        <v>220</v>
      </c>
      <c r="G8" s="80">
        <v>3</v>
      </c>
      <c r="H8" s="61" t="s">
        <v>223</v>
      </c>
      <c r="I8" s="62" t="str">
        <f t="shared" ref="I8:I19" si="0">VLOOKUP(H8,$A$21:$E$25,2,0)</f>
        <v>Staff</v>
      </c>
      <c r="J8" s="81">
        <f t="shared" ref="J8:J19" si="1">YEAR($B$4) - YEAR(D8)</f>
        <v>26</v>
      </c>
      <c r="K8" s="116">
        <f t="shared" ref="K8:K19" si="2">VLOOKUP(E8,$A$27:$B$31,2,0)</f>
        <v>2000000</v>
      </c>
      <c r="L8" s="115">
        <f t="shared" ref="L8:L19" si="3">VLOOKUP(H8,$A$21:$E$25,3,0)</f>
        <v>0</v>
      </c>
      <c r="M8" s="115">
        <f t="shared" ref="M8:M19" si="4">VLOOKUP(H8,$A$21:$E$25,4,0)</f>
        <v>0</v>
      </c>
      <c r="N8" s="115">
        <f t="shared" ref="N8:N19" si="5">VLOOKUP(H8,$A$21:$E$25,5,0)</f>
        <v>0</v>
      </c>
      <c r="O8" s="115">
        <f t="shared" ref="O8:O19" si="6">SUM(L8:N8)</f>
        <v>0</v>
      </c>
      <c r="P8" s="116">
        <f t="shared" ref="P8:P19" si="7">(K8*O8)+K8</f>
        <v>2000000</v>
      </c>
      <c r="Q8" s="116">
        <f t="shared" ref="Q8:Q19" si="8">$R$2*K8</f>
        <v>100000</v>
      </c>
      <c r="R8" s="116">
        <f t="shared" ref="R8:R19" si="9">$R$3*K8</f>
        <v>140000</v>
      </c>
      <c r="S8" s="116">
        <f t="shared" ref="S8:S19" si="10">$R$4*K8</f>
        <v>100000</v>
      </c>
      <c r="T8" s="116">
        <f t="shared" ref="T8:T19" si="11">P8-Q8-R8-S8</f>
        <v>1660000</v>
      </c>
      <c r="U8" s="116">
        <f t="shared" ref="U8:U19" si="12">T8</f>
        <v>1660000</v>
      </c>
      <c r="V8" s="68"/>
      <c r="W8" s="68"/>
      <c r="X8" s="68"/>
      <c r="Y8" s="68"/>
      <c r="Z8" s="68"/>
    </row>
    <row r="9" spans="1:26" ht="14.4" x14ac:dyDescent="0.3">
      <c r="A9" s="61">
        <v>3</v>
      </c>
      <c r="B9" s="62" t="s">
        <v>224</v>
      </c>
      <c r="C9" s="61">
        <v>10114</v>
      </c>
      <c r="D9" s="79">
        <v>31415</v>
      </c>
      <c r="E9" s="61">
        <v>3</v>
      </c>
      <c r="F9" s="80" t="s">
        <v>225</v>
      </c>
      <c r="G9" s="80">
        <v>0</v>
      </c>
      <c r="H9" s="61" t="s">
        <v>223</v>
      </c>
      <c r="I9" s="62" t="str">
        <f t="shared" si="0"/>
        <v>Staff</v>
      </c>
      <c r="J9" s="81">
        <f t="shared" si="1"/>
        <v>23</v>
      </c>
      <c r="K9" s="116">
        <f t="shared" si="2"/>
        <v>2000000</v>
      </c>
      <c r="L9" s="115">
        <f t="shared" si="3"/>
        <v>0</v>
      </c>
      <c r="M9" s="115">
        <f t="shared" si="4"/>
        <v>0</v>
      </c>
      <c r="N9" s="115">
        <f t="shared" si="5"/>
        <v>0</v>
      </c>
      <c r="O9" s="115">
        <f t="shared" si="6"/>
        <v>0</v>
      </c>
      <c r="P9" s="116">
        <f t="shared" si="7"/>
        <v>2000000</v>
      </c>
      <c r="Q9" s="116">
        <f t="shared" si="8"/>
        <v>100000</v>
      </c>
      <c r="R9" s="116">
        <f t="shared" si="9"/>
        <v>140000</v>
      </c>
      <c r="S9" s="116">
        <f t="shared" si="10"/>
        <v>100000</v>
      </c>
      <c r="T9" s="116">
        <f t="shared" si="11"/>
        <v>1660000</v>
      </c>
      <c r="U9" s="116">
        <f t="shared" si="12"/>
        <v>1660000</v>
      </c>
      <c r="V9" s="68"/>
      <c r="W9" s="68"/>
      <c r="X9" s="68"/>
      <c r="Y9" s="68"/>
      <c r="Z9" s="68"/>
    </row>
    <row r="10" spans="1:26" ht="14.4" x14ac:dyDescent="0.3">
      <c r="A10" s="61">
        <v>4</v>
      </c>
      <c r="B10" s="62" t="s">
        <v>226</v>
      </c>
      <c r="C10" s="61">
        <v>10116</v>
      </c>
      <c r="D10" s="79">
        <v>37806</v>
      </c>
      <c r="E10" s="61">
        <v>2</v>
      </c>
      <c r="F10" s="80" t="s">
        <v>220</v>
      </c>
      <c r="G10" s="80">
        <v>0</v>
      </c>
      <c r="H10" s="61" t="s">
        <v>227</v>
      </c>
      <c r="I10" s="62" t="str">
        <f t="shared" si="0"/>
        <v>Supervisor</v>
      </c>
      <c r="J10" s="81">
        <f t="shared" si="1"/>
        <v>6</v>
      </c>
      <c r="K10" s="116">
        <f t="shared" si="2"/>
        <v>3000000</v>
      </c>
      <c r="L10" s="115">
        <f t="shared" si="3"/>
        <v>0.2</v>
      </c>
      <c r="M10" s="115">
        <f t="shared" si="4"/>
        <v>0.1</v>
      </c>
      <c r="N10" s="115">
        <f t="shared" si="5"/>
        <v>0.05</v>
      </c>
      <c r="O10" s="115">
        <f t="shared" si="6"/>
        <v>0.35000000000000003</v>
      </c>
      <c r="P10" s="116">
        <f t="shared" si="7"/>
        <v>4050000</v>
      </c>
      <c r="Q10" s="116">
        <f t="shared" si="8"/>
        <v>150000</v>
      </c>
      <c r="R10" s="116">
        <f t="shared" si="9"/>
        <v>210000.00000000003</v>
      </c>
      <c r="S10" s="116">
        <f t="shared" si="10"/>
        <v>150000</v>
      </c>
      <c r="T10" s="116">
        <f t="shared" si="11"/>
        <v>3540000</v>
      </c>
      <c r="U10" s="116">
        <f t="shared" si="12"/>
        <v>3540000</v>
      </c>
      <c r="V10" s="68"/>
      <c r="W10" s="68"/>
      <c r="X10" s="68"/>
      <c r="Y10" s="68"/>
      <c r="Z10" s="68"/>
    </row>
    <row r="11" spans="1:26" ht="14.4" x14ac:dyDescent="0.3">
      <c r="A11" s="61">
        <v>5</v>
      </c>
      <c r="B11" s="62" t="s">
        <v>228</v>
      </c>
      <c r="C11" s="61">
        <v>10118</v>
      </c>
      <c r="D11" s="79">
        <v>32482</v>
      </c>
      <c r="E11" s="61">
        <v>3</v>
      </c>
      <c r="F11" s="80" t="s">
        <v>225</v>
      </c>
      <c r="G11" s="80">
        <v>0</v>
      </c>
      <c r="H11" s="61" t="s">
        <v>223</v>
      </c>
      <c r="I11" s="62" t="str">
        <f t="shared" si="0"/>
        <v>Staff</v>
      </c>
      <c r="J11" s="81">
        <f t="shared" si="1"/>
        <v>21</v>
      </c>
      <c r="K11" s="116">
        <f t="shared" si="2"/>
        <v>2000000</v>
      </c>
      <c r="L11" s="115">
        <f t="shared" si="3"/>
        <v>0</v>
      </c>
      <c r="M11" s="115">
        <f t="shared" si="4"/>
        <v>0</v>
      </c>
      <c r="N11" s="115">
        <f t="shared" si="5"/>
        <v>0</v>
      </c>
      <c r="O11" s="115">
        <f t="shared" si="6"/>
        <v>0</v>
      </c>
      <c r="P11" s="116">
        <f t="shared" si="7"/>
        <v>2000000</v>
      </c>
      <c r="Q11" s="116">
        <f t="shared" si="8"/>
        <v>100000</v>
      </c>
      <c r="R11" s="116">
        <f t="shared" si="9"/>
        <v>140000</v>
      </c>
      <c r="S11" s="116">
        <f t="shared" si="10"/>
        <v>100000</v>
      </c>
      <c r="T11" s="116">
        <f t="shared" si="11"/>
        <v>1660000</v>
      </c>
      <c r="U11" s="116">
        <f t="shared" si="12"/>
        <v>1660000</v>
      </c>
      <c r="V11" s="68"/>
      <c r="W11" s="68"/>
      <c r="X11" s="68"/>
      <c r="Y11" s="68"/>
      <c r="Z11" s="68"/>
    </row>
    <row r="12" spans="1:26" ht="14.4" x14ac:dyDescent="0.3">
      <c r="A12" s="61">
        <v>6</v>
      </c>
      <c r="B12" s="62" t="s">
        <v>229</v>
      </c>
      <c r="C12" s="61">
        <v>10120</v>
      </c>
      <c r="D12" s="79">
        <v>29592</v>
      </c>
      <c r="E12" s="61">
        <v>2</v>
      </c>
      <c r="F12" s="80" t="s">
        <v>225</v>
      </c>
      <c r="G12" s="80">
        <v>0</v>
      </c>
      <c r="H12" s="61" t="s">
        <v>227</v>
      </c>
      <c r="I12" s="62" t="str">
        <f t="shared" si="0"/>
        <v>Supervisor</v>
      </c>
      <c r="J12" s="81">
        <f t="shared" si="1"/>
        <v>28</v>
      </c>
      <c r="K12" s="116">
        <f t="shared" si="2"/>
        <v>3000000</v>
      </c>
      <c r="L12" s="115">
        <f t="shared" si="3"/>
        <v>0.2</v>
      </c>
      <c r="M12" s="115">
        <f t="shared" si="4"/>
        <v>0.1</v>
      </c>
      <c r="N12" s="115">
        <f t="shared" si="5"/>
        <v>0.05</v>
      </c>
      <c r="O12" s="115">
        <f t="shared" si="6"/>
        <v>0.35000000000000003</v>
      </c>
      <c r="P12" s="116">
        <f t="shared" si="7"/>
        <v>4050000</v>
      </c>
      <c r="Q12" s="116">
        <f t="shared" si="8"/>
        <v>150000</v>
      </c>
      <c r="R12" s="116">
        <f t="shared" si="9"/>
        <v>210000.00000000003</v>
      </c>
      <c r="S12" s="116">
        <f t="shared" si="10"/>
        <v>150000</v>
      </c>
      <c r="T12" s="116">
        <f t="shared" si="11"/>
        <v>3540000</v>
      </c>
      <c r="U12" s="116">
        <f t="shared" si="12"/>
        <v>3540000</v>
      </c>
      <c r="V12" s="68"/>
      <c r="W12" s="68"/>
      <c r="X12" s="68"/>
      <c r="Y12" s="68"/>
      <c r="Z12" s="68"/>
    </row>
    <row r="13" spans="1:26" ht="14.4" x14ac:dyDescent="0.3">
      <c r="A13" s="61">
        <v>7</v>
      </c>
      <c r="B13" s="62" t="s">
        <v>230</v>
      </c>
      <c r="C13" s="61">
        <v>10122</v>
      </c>
      <c r="D13" s="79">
        <v>37993</v>
      </c>
      <c r="E13" s="61">
        <v>3</v>
      </c>
      <c r="F13" s="80" t="s">
        <v>220</v>
      </c>
      <c r="G13" s="80">
        <v>7</v>
      </c>
      <c r="H13" s="61" t="s">
        <v>223</v>
      </c>
      <c r="I13" s="62" t="str">
        <f t="shared" si="0"/>
        <v>Staff</v>
      </c>
      <c r="J13" s="81">
        <f t="shared" si="1"/>
        <v>5</v>
      </c>
      <c r="K13" s="116">
        <f t="shared" si="2"/>
        <v>2000000</v>
      </c>
      <c r="L13" s="115">
        <f t="shared" si="3"/>
        <v>0</v>
      </c>
      <c r="M13" s="115">
        <f t="shared" si="4"/>
        <v>0</v>
      </c>
      <c r="N13" s="115">
        <f t="shared" si="5"/>
        <v>0</v>
      </c>
      <c r="O13" s="115">
        <f t="shared" si="6"/>
        <v>0</v>
      </c>
      <c r="P13" s="116">
        <f t="shared" si="7"/>
        <v>2000000</v>
      </c>
      <c r="Q13" s="116">
        <f t="shared" si="8"/>
        <v>100000</v>
      </c>
      <c r="R13" s="116">
        <f t="shared" si="9"/>
        <v>140000</v>
      </c>
      <c r="S13" s="116">
        <f t="shared" si="10"/>
        <v>100000</v>
      </c>
      <c r="T13" s="116">
        <f t="shared" si="11"/>
        <v>1660000</v>
      </c>
      <c r="U13" s="116">
        <f t="shared" si="12"/>
        <v>1660000</v>
      </c>
      <c r="V13" s="68"/>
      <c r="W13" s="68"/>
      <c r="X13" s="68"/>
      <c r="Y13" s="68"/>
      <c r="Z13" s="68"/>
    </row>
    <row r="14" spans="1:26" ht="14.4" x14ac:dyDescent="0.3">
      <c r="A14" s="61">
        <v>8</v>
      </c>
      <c r="B14" s="62" t="s">
        <v>231</v>
      </c>
      <c r="C14" s="61">
        <v>10124</v>
      </c>
      <c r="D14" s="79">
        <v>34696</v>
      </c>
      <c r="E14" s="61">
        <v>1</v>
      </c>
      <c r="F14" s="80" t="s">
        <v>225</v>
      </c>
      <c r="G14" s="80">
        <v>0</v>
      </c>
      <c r="H14" s="61" t="s">
        <v>232</v>
      </c>
      <c r="I14" s="62" t="str">
        <f t="shared" si="0"/>
        <v>Manager</v>
      </c>
      <c r="J14" s="81">
        <f t="shared" si="1"/>
        <v>15</v>
      </c>
      <c r="K14" s="116">
        <f t="shared" si="2"/>
        <v>5000000</v>
      </c>
      <c r="L14" s="115">
        <f t="shared" si="3"/>
        <v>0.25</v>
      </c>
      <c r="M14" s="115">
        <f t="shared" si="4"/>
        <v>0.15</v>
      </c>
      <c r="N14" s="115">
        <f t="shared" si="5"/>
        <v>0.1</v>
      </c>
      <c r="O14" s="115">
        <f t="shared" si="6"/>
        <v>0.5</v>
      </c>
      <c r="P14" s="116">
        <f t="shared" si="7"/>
        <v>7500000</v>
      </c>
      <c r="Q14" s="116">
        <f t="shared" si="8"/>
        <v>250000</v>
      </c>
      <c r="R14" s="116">
        <f t="shared" si="9"/>
        <v>350000.00000000006</v>
      </c>
      <c r="S14" s="116">
        <f t="shared" si="10"/>
        <v>250000</v>
      </c>
      <c r="T14" s="116">
        <f t="shared" si="11"/>
        <v>6650000</v>
      </c>
      <c r="U14" s="116">
        <f t="shared" si="12"/>
        <v>6650000</v>
      </c>
      <c r="V14" s="68"/>
      <c r="W14" s="68"/>
      <c r="X14" s="68"/>
      <c r="Y14" s="68"/>
      <c r="Z14" s="68"/>
    </row>
    <row r="15" spans="1:26" ht="14.4" x14ac:dyDescent="0.3">
      <c r="A15" s="61">
        <v>9</v>
      </c>
      <c r="B15" s="62" t="s">
        <v>233</v>
      </c>
      <c r="C15" s="61">
        <v>10126</v>
      </c>
      <c r="D15" s="79">
        <v>34373</v>
      </c>
      <c r="E15" s="61">
        <v>3</v>
      </c>
      <c r="F15" s="80" t="s">
        <v>225</v>
      </c>
      <c r="G15" s="80">
        <v>0</v>
      </c>
      <c r="H15" s="61" t="s">
        <v>223</v>
      </c>
      <c r="I15" s="62" t="str">
        <f t="shared" si="0"/>
        <v>Staff</v>
      </c>
      <c r="J15" s="81">
        <f t="shared" si="1"/>
        <v>15</v>
      </c>
      <c r="K15" s="116">
        <f t="shared" si="2"/>
        <v>2000000</v>
      </c>
      <c r="L15" s="115">
        <f t="shared" si="3"/>
        <v>0</v>
      </c>
      <c r="M15" s="115">
        <f t="shared" si="4"/>
        <v>0</v>
      </c>
      <c r="N15" s="115">
        <f t="shared" si="5"/>
        <v>0</v>
      </c>
      <c r="O15" s="115">
        <f t="shared" si="6"/>
        <v>0</v>
      </c>
      <c r="P15" s="116">
        <f t="shared" si="7"/>
        <v>2000000</v>
      </c>
      <c r="Q15" s="116">
        <f t="shared" si="8"/>
        <v>100000</v>
      </c>
      <c r="R15" s="116">
        <f t="shared" si="9"/>
        <v>140000</v>
      </c>
      <c r="S15" s="116">
        <f t="shared" si="10"/>
        <v>100000</v>
      </c>
      <c r="T15" s="116">
        <f t="shared" si="11"/>
        <v>1660000</v>
      </c>
      <c r="U15" s="116">
        <f t="shared" si="12"/>
        <v>1660000</v>
      </c>
      <c r="V15" s="68"/>
      <c r="W15" s="68"/>
      <c r="X15" s="68"/>
      <c r="Y15" s="68"/>
      <c r="Z15" s="68"/>
    </row>
    <row r="16" spans="1:26" ht="14.4" x14ac:dyDescent="0.3">
      <c r="A16" s="61">
        <v>10</v>
      </c>
      <c r="B16" s="62" t="s">
        <v>234</v>
      </c>
      <c r="C16" s="61">
        <v>10128</v>
      </c>
      <c r="D16" s="79">
        <v>35448</v>
      </c>
      <c r="E16" s="61">
        <v>2</v>
      </c>
      <c r="F16" s="80" t="s">
        <v>220</v>
      </c>
      <c r="G16" s="80">
        <v>2</v>
      </c>
      <c r="H16" s="61" t="s">
        <v>232</v>
      </c>
      <c r="I16" s="62" t="str">
        <f t="shared" si="0"/>
        <v>Manager</v>
      </c>
      <c r="J16" s="81">
        <f t="shared" si="1"/>
        <v>12</v>
      </c>
      <c r="K16" s="116">
        <f t="shared" si="2"/>
        <v>3000000</v>
      </c>
      <c r="L16" s="115">
        <f t="shared" si="3"/>
        <v>0.25</v>
      </c>
      <c r="M16" s="115">
        <f t="shared" si="4"/>
        <v>0.15</v>
      </c>
      <c r="N16" s="115">
        <f t="shared" si="5"/>
        <v>0.1</v>
      </c>
      <c r="O16" s="115">
        <f t="shared" si="6"/>
        <v>0.5</v>
      </c>
      <c r="P16" s="116">
        <f t="shared" si="7"/>
        <v>4500000</v>
      </c>
      <c r="Q16" s="116">
        <f t="shared" si="8"/>
        <v>150000</v>
      </c>
      <c r="R16" s="116">
        <f t="shared" si="9"/>
        <v>210000.00000000003</v>
      </c>
      <c r="S16" s="116">
        <f t="shared" si="10"/>
        <v>150000</v>
      </c>
      <c r="T16" s="116">
        <f t="shared" si="11"/>
        <v>3990000</v>
      </c>
      <c r="U16" s="116">
        <f t="shared" si="12"/>
        <v>3990000</v>
      </c>
      <c r="V16" s="68"/>
      <c r="W16" s="68"/>
      <c r="X16" s="68"/>
      <c r="Y16" s="68"/>
      <c r="Z16" s="68"/>
    </row>
    <row r="17" spans="1:26" ht="14.4" x14ac:dyDescent="0.3">
      <c r="A17" s="61">
        <v>11</v>
      </c>
      <c r="B17" s="62" t="s">
        <v>235</v>
      </c>
      <c r="C17" s="61">
        <v>10130</v>
      </c>
      <c r="D17" s="79">
        <v>34646</v>
      </c>
      <c r="E17" s="61">
        <v>4</v>
      </c>
      <c r="F17" s="80" t="s">
        <v>220</v>
      </c>
      <c r="G17" s="80">
        <v>1</v>
      </c>
      <c r="H17" s="61" t="s">
        <v>223</v>
      </c>
      <c r="I17" s="62" t="str">
        <f t="shared" si="0"/>
        <v>Staff</v>
      </c>
      <c r="J17" s="81">
        <f t="shared" si="1"/>
        <v>15</v>
      </c>
      <c r="K17" s="116">
        <f t="shared" si="2"/>
        <v>1000000</v>
      </c>
      <c r="L17" s="115">
        <f t="shared" si="3"/>
        <v>0</v>
      </c>
      <c r="M17" s="115">
        <f t="shared" si="4"/>
        <v>0</v>
      </c>
      <c r="N17" s="115">
        <f t="shared" si="5"/>
        <v>0</v>
      </c>
      <c r="O17" s="115">
        <f t="shared" si="6"/>
        <v>0</v>
      </c>
      <c r="P17" s="116">
        <f t="shared" si="7"/>
        <v>1000000</v>
      </c>
      <c r="Q17" s="116">
        <f t="shared" si="8"/>
        <v>50000</v>
      </c>
      <c r="R17" s="116">
        <f t="shared" si="9"/>
        <v>70000</v>
      </c>
      <c r="S17" s="116">
        <f t="shared" si="10"/>
        <v>50000</v>
      </c>
      <c r="T17" s="116">
        <f t="shared" si="11"/>
        <v>830000</v>
      </c>
      <c r="U17" s="116">
        <f t="shared" si="12"/>
        <v>830000</v>
      </c>
      <c r="V17" s="68"/>
      <c r="W17" s="68"/>
      <c r="X17" s="68"/>
      <c r="Y17" s="68"/>
      <c r="Z17" s="68"/>
    </row>
    <row r="18" spans="1:26" ht="14.4" x14ac:dyDescent="0.3">
      <c r="A18" s="61">
        <v>12</v>
      </c>
      <c r="B18" s="62" t="s">
        <v>236</v>
      </c>
      <c r="C18" s="61">
        <v>10132</v>
      </c>
      <c r="D18" s="79">
        <v>34980</v>
      </c>
      <c r="E18" s="61">
        <v>4</v>
      </c>
      <c r="F18" s="80" t="s">
        <v>225</v>
      </c>
      <c r="G18" s="80">
        <v>0</v>
      </c>
      <c r="H18" s="61" t="s">
        <v>223</v>
      </c>
      <c r="I18" s="62" t="str">
        <f t="shared" si="0"/>
        <v>Staff</v>
      </c>
      <c r="J18" s="81">
        <f t="shared" si="1"/>
        <v>14</v>
      </c>
      <c r="K18" s="116">
        <f t="shared" si="2"/>
        <v>1000000</v>
      </c>
      <c r="L18" s="115">
        <f t="shared" si="3"/>
        <v>0</v>
      </c>
      <c r="M18" s="115">
        <f t="shared" si="4"/>
        <v>0</v>
      </c>
      <c r="N18" s="115">
        <f t="shared" si="5"/>
        <v>0</v>
      </c>
      <c r="O18" s="115">
        <f t="shared" si="6"/>
        <v>0</v>
      </c>
      <c r="P18" s="116">
        <f t="shared" si="7"/>
        <v>1000000</v>
      </c>
      <c r="Q18" s="116">
        <f t="shared" si="8"/>
        <v>50000</v>
      </c>
      <c r="R18" s="116">
        <f t="shared" si="9"/>
        <v>70000</v>
      </c>
      <c r="S18" s="116">
        <f t="shared" si="10"/>
        <v>50000</v>
      </c>
      <c r="T18" s="116">
        <f t="shared" si="11"/>
        <v>830000</v>
      </c>
      <c r="U18" s="116">
        <f t="shared" si="12"/>
        <v>830000</v>
      </c>
      <c r="V18" s="68"/>
      <c r="W18" s="68"/>
      <c r="X18" s="68"/>
      <c r="Y18" s="68"/>
      <c r="Z18" s="68"/>
    </row>
    <row r="19" spans="1:26" ht="14.4" x14ac:dyDescent="0.3">
      <c r="A19" s="61">
        <v>13</v>
      </c>
      <c r="B19" s="62" t="s">
        <v>237</v>
      </c>
      <c r="C19" s="61">
        <v>10134</v>
      </c>
      <c r="D19" s="79">
        <v>32891</v>
      </c>
      <c r="E19" s="61">
        <v>4</v>
      </c>
      <c r="F19" s="80" t="s">
        <v>225</v>
      </c>
      <c r="G19" s="80">
        <v>0</v>
      </c>
      <c r="H19" s="61" t="s">
        <v>223</v>
      </c>
      <c r="I19" s="62" t="str">
        <f t="shared" si="0"/>
        <v>Staff</v>
      </c>
      <c r="J19" s="81">
        <f t="shared" si="1"/>
        <v>19</v>
      </c>
      <c r="K19" s="116">
        <f t="shared" si="2"/>
        <v>1000000</v>
      </c>
      <c r="L19" s="115">
        <f t="shared" si="3"/>
        <v>0</v>
      </c>
      <c r="M19" s="115">
        <f t="shared" si="4"/>
        <v>0</v>
      </c>
      <c r="N19" s="115">
        <f t="shared" si="5"/>
        <v>0</v>
      </c>
      <c r="O19" s="115">
        <f t="shared" si="6"/>
        <v>0</v>
      </c>
      <c r="P19" s="116">
        <f t="shared" si="7"/>
        <v>1000000</v>
      </c>
      <c r="Q19" s="116">
        <f t="shared" si="8"/>
        <v>50000</v>
      </c>
      <c r="R19" s="116">
        <f t="shared" si="9"/>
        <v>70000</v>
      </c>
      <c r="S19" s="116">
        <f t="shared" si="10"/>
        <v>50000</v>
      </c>
      <c r="T19" s="116">
        <f t="shared" si="11"/>
        <v>830000</v>
      </c>
      <c r="U19" s="116">
        <f t="shared" si="12"/>
        <v>830000</v>
      </c>
      <c r="V19" s="68"/>
      <c r="W19" s="68"/>
      <c r="X19" s="68"/>
      <c r="Y19" s="68"/>
      <c r="Z19" s="68"/>
    </row>
    <row r="20" spans="1:26" ht="14.4" x14ac:dyDescent="0.3">
      <c r="E20" s="30"/>
      <c r="F20" s="30"/>
      <c r="G20" s="82"/>
    </row>
    <row r="21" spans="1:26" ht="15.75" customHeight="1" x14ac:dyDescent="0.3">
      <c r="A21" s="83" t="s">
        <v>119</v>
      </c>
      <c r="B21" s="83" t="s">
        <v>238</v>
      </c>
      <c r="C21" s="84" t="s">
        <v>239</v>
      </c>
      <c r="D21" s="41" t="s">
        <v>240</v>
      </c>
      <c r="E21" s="41" t="s">
        <v>241</v>
      </c>
      <c r="F21" s="30"/>
      <c r="G21" s="37" t="s">
        <v>242</v>
      </c>
    </row>
    <row r="22" spans="1:26" ht="15.75" customHeight="1" x14ac:dyDescent="0.3">
      <c r="A22" s="85" t="s">
        <v>221</v>
      </c>
      <c r="B22" s="85" t="s">
        <v>98</v>
      </c>
      <c r="C22" s="86">
        <v>0.4</v>
      </c>
      <c r="D22" s="87">
        <v>0.2</v>
      </c>
      <c r="E22" s="87">
        <v>0.15</v>
      </c>
      <c r="F22" s="88"/>
      <c r="G22" s="50" t="s">
        <v>243</v>
      </c>
    </row>
    <row r="23" spans="1:26" ht="15.75" customHeight="1" x14ac:dyDescent="0.3">
      <c r="A23" s="89" t="s">
        <v>232</v>
      </c>
      <c r="B23" s="89" t="s">
        <v>99</v>
      </c>
      <c r="C23" s="90">
        <v>0.25</v>
      </c>
      <c r="D23" s="87">
        <v>0.15</v>
      </c>
      <c r="E23" s="87">
        <v>0.1</v>
      </c>
      <c r="F23" s="91"/>
      <c r="G23" s="37" t="s">
        <v>244</v>
      </c>
      <c r="J23" s="92"/>
    </row>
    <row r="24" spans="1:26" ht="15.75" customHeight="1" x14ac:dyDescent="0.3">
      <c r="A24" s="89" t="s">
        <v>223</v>
      </c>
      <c r="B24" s="89" t="s">
        <v>100</v>
      </c>
      <c r="C24" s="90">
        <v>0</v>
      </c>
      <c r="D24" s="87">
        <v>0</v>
      </c>
      <c r="E24" s="87">
        <v>0</v>
      </c>
      <c r="F24" s="91"/>
      <c r="G24" s="37" t="s">
        <v>245</v>
      </c>
    </row>
    <row r="25" spans="1:26" ht="15.75" customHeight="1" x14ac:dyDescent="0.3">
      <c r="A25" s="89" t="s">
        <v>227</v>
      </c>
      <c r="B25" s="89" t="s">
        <v>246</v>
      </c>
      <c r="C25" s="90">
        <v>0.2</v>
      </c>
      <c r="D25" s="87">
        <v>0.1</v>
      </c>
      <c r="E25" s="87">
        <v>0.05</v>
      </c>
      <c r="F25" s="91"/>
      <c r="G25" s="37" t="s">
        <v>247</v>
      </c>
    </row>
    <row r="26" spans="1:26" ht="15.75" customHeight="1" x14ac:dyDescent="0.3">
      <c r="G26" s="37" t="s">
        <v>248</v>
      </c>
      <c r="K26" s="93"/>
    </row>
    <row r="27" spans="1:26" ht="15.75" customHeight="1" x14ac:dyDescent="0.3">
      <c r="A27" s="94" t="s">
        <v>249</v>
      </c>
      <c r="B27" s="95" t="s">
        <v>250</v>
      </c>
      <c r="D27" s="37"/>
      <c r="G27" s="37" t="s">
        <v>251</v>
      </c>
    </row>
    <row r="28" spans="1:26" ht="15.75" customHeight="1" x14ac:dyDescent="0.3">
      <c r="A28" s="96">
        <v>1</v>
      </c>
      <c r="B28" s="97">
        <v>5000000</v>
      </c>
      <c r="G28" s="37" t="s">
        <v>252</v>
      </c>
    </row>
    <row r="29" spans="1:26" ht="15.75" customHeight="1" x14ac:dyDescent="0.3">
      <c r="A29" s="96">
        <v>2</v>
      </c>
      <c r="B29" s="97">
        <v>3000000</v>
      </c>
      <c r="G29" s="37" t="s">
        <v>253</v>
      </c>
    </row>
    <row r="30" spans="1:26" ht="15.75" customHeight="1" x14ac:dyDescent="0.3">
      <c r="A30" s="96">
        <v>3</v>
      </c>
      <c r="B30" s="97">
        <v>2000000</v>
      </c>
      <c r="G30" s="37" t="s">
        <v>254</v>
      </c>
    </row>
    <row r="31" spans="1:26" ht="15.75" customHeight="1" x14ac:dyDescent="0.3">
      <c r="A31" s="96">
        <v>4</v>
      </c>
      <c r="B31" s="97">
        <v>1000000</v>
      </c>
      <c r="G31" s="37" t="s">
        <v>255</v>
      </c>
    </row>
    <row r="32" spans="1:26" ht="15.75" customHeight="1" x14ac:dyDescent="0.3">
      <c r="G32" s="37" t="s">
        <v>256</v>
      </c>
    </row>
    <row r="33" spans="7:7" ht="15.75" customHeight="1" x14ac:dyDescent="0.3">
      <c r="G33" s="37" t="s">
        <v>257</v>
      </c>
    </row>
    <row r="34" spans="7:7" ht="15.75" customHeight="1" x14ac:dyDescent="0.3"/>
    <row r="35" spans="7:7" ht="15.75" customHeight="1" x14ac:dyDescent="0.3"/>
    <row r="36" spans="7:7" ht="15.75" customHeight="1" x14ac:dyDescent="0.3"/>
    <row r="37" spans="7:7" ht="15.75" customHeight="1" x14ac:dyDescent="0.3"/>
    <row r="38" spans="7:7" ht="15.75" customHeight="1" x14ac:dyDescent="0.3"/>
    <row r="39" spans="7:7" ht="15.75" customHeight="1" x14ac:dyDescent="0.3"/>
    <row r="40" spans="7:7" ht="15.75" customHeight="1" x14ac:dyDescent="0.3"/>
    <row r="41" spans="7:7" ht="15.75" customHeight="1" x14ac:dyDescent="0.3"/>
    <row r="42" spans="7:7" ht="15.75" customHeight="1" x14ac:dyDescent="0.3"/>
    <row r="43" spans="7:7" ht="15.75" customHeight="1" x14ac:dyDescent="0.3"/>
    <row r="44" spans="7:7" ht="15.75" customHeight="1" x14ac:dyDescent="0.3"/>
    <row r="45" spans="7:7" ht="15.75" customHeight="1" x14ac:dyDescent="0.3"/>
    <row r="46" spans="7:7" ht="15.75" customHeight="1" x14ac:dyDescent="0.3"/>
    <row r="47" spans="7:7" ht="15.75" customHeight="1" x14ac:dyDescent="0.3"/>
    <row r="48" spans="7:7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8">
    <mergeCell ref="A5:A6"/>
    <mergeCell ref="B5:B6"/>
    <mergeCell ref="C5:C6"/>
    <mergeCell ref="D5:D6"/>
    <mergeCell ref="E5:E6"/>
    <mergeCell ref="F5:F6"/>
    <mergeCell ref="G5:G6"/>
    <mergeCell ref="R5:R6"/>
    <mergeCell ref="S5:S6"/>
    <mergeCell ref="T5:T6"/>
    <mergeCell ref="U5:U6"/>
    <mergeCell ref="H5:H6"/>
    <mergeCell ref="I5:I6"/>
    <mergeCell ref="J5:J6"/>
    <mergeCell ref="K5:K6"/>
    <mergeCell ref="L5:N5"/>
    <mergeCell ref="P5:P6"/>
    <mergeCell ref="Q5:Q6"/>
  </mergeCells>
  <pageMargins left="0.7" right="0.7" top="0.75" bottom="0.75" header="0" footer="0"/>
  <pageSetup paperSize="8" scale="8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24 DECEMBER 2021</vt:lpstr>
      <vt:lpstr>26 DECEMBER 2021</vt:lpstr>
      <vt:lpstr>27 DECEMBER 2021</vt:lpstr>
      <vt:lpstr>28 DECEMBER 2021</vt:lpstr>
      <vt:lpstr>29 DECEMBER 2021</vt:lpstr>
      <vt:lpstr>30 DECEMBER 2021</vt:lpstr>
      <vt:lpstr>BUs</vt:lpstr>
      <vt:lpstr>cd</vt:lpstr>
      <vt:lpstr>data</vt:lpstr>
      <vt:lpstr>dta</vt:lpstr>
      <vt:lpstr>harga</vt:lpstr>
      <vt:lpstr>kls</vt:lpstr>
      <vt:lpstr>l</vt:lpstr>
      <vt:lpstr>o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 Raja</dc:creator>
  <cp:lastModifiedBy>offis.ori6578@outlook.com</cp:lastModifiedBy>
  <dcterms:created xsi:type="dcterms:W3CDTF">2021-12-21T03:41:56Z</dcterms:created>
  <dcterms:modified xsi:type="dcterms:W3CDTF">2026-03-06T03:56:19Z</dcterms:modified>
</cp:coreProperties>
</file>